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UTI\Downloads\"/>
    </mc:Choice>
  </mc:AlternateContent>
  <xr:revisionPtr revIDLastSave="0" documentId="13_ncr:1_{6E0FA8D1-271A-4167-BBA4-145B968060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 (2)" sheetId="9" r:id="rId1"/>
    <sheet name="Sheet2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3" i="8" l="1"/>
  <c r="G81" i="8"/>
  <c r="G27" i="8"/>
  <c r="G14" i="8"/>
  <c r="G66" i="8"/>
  <c r="G60" i="8"/>
  <c r="G59" i="8"/>
  <c r="G58" i="8"/>
  <c r="G54" i="8"/>
  <c r="G53" i="8"/>
  <c r="G67" i="8" s="1"/>
  <c r="G95" i="8" s="1"/>
  <c r="G48" i="8"/>
  <c r="G47" i="8"/>
  <c r="G46" i="8"/>
  <c r="G45" i="8"/>
  <c r="G40" i="8"/>
  <c r="G39" i="8"/>
  <c r="G43" i="8" s="1"/>
  <c r="G29" i="8"/>
  <c r="G33" i="8" s="1"/>
  <c r="G51" i="8" l="1"/>
</calcChain>
</file>

<file path=xl/sharedStrings.xml><?xml version="1.0" encoding="utf-8"?>
<sst xmlns="http://schemas.openxmlformats.org/spreadsheetml/2006/main" count="285" uniqueCount="226">
  <si>
    <t>SIZE</t>
  </si>
  <si>
    <t>AREA</t>
  </si>
  <si>
    <t>Tv  Unit Panel</t>
  </si>
  <si>
    <t>LIVING ROOM  / DINING AREA</t>
  </si>
  <si>
    <t>KICHEN AREA</t>
  </si>
  <si>
    <t>Tall unit</t>
  </si>
  <si>
    <t>MANDIR AREA</t>
  </si>
  <si>
    <t>Bed</t>
  </si>
  <si>
    <t xml:space="preserve">Bed </t>
  </si>
  <si>
    <t>Bed Back Panel</t>
  </si>
  <si>
    <t xml:space="preserve">Side Table </t>
  </si>
  <si>
    <t>Back panel with wallpaper behind chair seating</t>
  </si>
  <si>
    <t>Mandir Unit</t>
  </si>
  <si>
    <t>NO</t>
  </si>
  <si>
    <t>Paneling behind sofa</t>
  </si>
  <si>
    <t>Dining set</t>
  </si>
  <si>
    <t>Shoe rack</t>
  </si>
  <si>
    <t xml:space="preserve">Paneling </t>
  </si>
  <si>
    <t>MASTER BEDROOM</t>
  </si>
  <si>
    <t>Balcony wall paneling</t>
  </si>
  <si>
    <t xml:space="preserve">Refurbish main door </t>
  </si>
  <si>
    <t>SQFT</t>
  </si>
  <si>
    <t>RATE</t>
  </si>
  <si>
    <t>AMOUNT</t>
  </si>
  <si>
    <t>Centre Table 1 nos.</t>
  </si>
  <si>
    <t>Corner Table 1 nos.</t>
  </si>
  <si>
    <t xml:space="preserve">Paneling behind Dining </t>
  </si>
  <si>
    <t xml:space="preserve">False ceiling </t>
  </si>
  <si>
    <t>Electrical</t>
  </si>
  <si>
    <t>Painting</t>
  </si>
  <si>
    <t xml:space="preserve">Backyard roof </t>
  </si>
  <si>
    <t>Light fittings and Fan</t>
  </si>
  <si>
    <t xml:space="preserve">Curtains for all </t>
  </si>
  <si>
    <t>Wardrobe lofts.</t>
  </si>
  <si>
    <t>5'0" X 8'0"ht.</t>
  </si>
  <si>
    <t xml:space="preserve">AC </t>
  </si>
  <si>
    <t>Plumbing for washing machine and dryer</t>
  </si>
  <si>
    <t>Overhead unit loft</t>
  </si>
  <si>
    <t>Refurbish door</t>
  </si>
  <si>
    <t>5'6' X 1'3" X 3'0" ht.</t>
  </si>
  <si>
    <t>4'0' X 1'3" X 3'0" ht.</t>
  </si>
  <si>
    <t>Console</t>
  </si>
  <si>
    <t>Tv Unit box</t>
  </si>
  <si>
    <t>8'2' X 1'2" X 1'0" ht.</t>
  </si>
  <si>
    <t>3'6" X 6'0"</t>
  </si>
  <si>
    <t>D-3'6" / D-2'8"</t>
  </si>
  <si>
    <t>2'0" X 2'0"</t>
  </si>
  <si>
    <t>6'0" X 1'6" X 7'7" ht.</t>
  </si>
  <si>
    <t>6'6" X 2'6"</t>
  </si>
  <si>
    <t>Paneling 2</t>
  </si>
  <si>
    <t>6'0" X 1'2" ht.</t>
  </si>
  <si>
    <t xml:space="preserve">Panel above </t>
  </si>
  <si>
    <t>2'6" X 8'9" ht.</t>
  </si>
  <si>
    <t>2'5" X 8'9" ht.</t>
  </si>
  <si>
    <t>MULTI PURPOSE ROOM</t>
  </si>
  <si>
    <t>kichen top</t>
  </si>
  <si>
    <t>kichen top sink side</t>
  </si>
  <si>
    <t>Kitchen shutters</t>
  </si>
  <si>
    <t>sink side shuters</t>
  </si>
  <si>
    <t xml:space="preserve">Overhead unit </t>
  </si>
  <si>
    <t>Overhead unit sink side</t>
  </si>
  <si>
    <t>Overhead unit loft sink side</t>
  </si>
  <si>
    <t>7'10" X 2'6"</t>
  </si>
  <si>
    <t>6'8" X 2'6"</t>
  </si>
  <si>
    <t>2'3" X 1'1" X 2'8"</t>
  </si>
  <si>
    <t>11'0" X 1'1" X 2'4"ht.</t>
  </si>
  <si>
    <t>11'0" X 1'1" X 2'8"ht.</t>
  </si>
  <si>
    <t>2'2" X  2'0"  X 7'6"ht.</t>
  </si>
  <si>
    <t>10'4" x 1'1" x 2'4"ht.</t>
  </si>
  <si>
    <t>Sliding door</t>
  </si>
  <si>
    <t>5'8" X 7'6"ht.</t>
  </si>
  <si>
    <t>4'0" X 7'6" ht.</t>
  </si>
  <si>
    <t>Sliding door partion behind fridge</t>
  </si>
  <si>
    <t>Study table</t>
  </si>
  <si>
    <t>5'0" X 2'8"</t>
  </si>
  <si>
    <t xml:space="preserve"> Wardrobe</t>
  </si>
  <si>
    <t>8'0" X 1'6" X 8'0" ht.</t>
  </si>
  <si>
    <t>8'0" X 1'6" X 1'10" ht.</t>
  </si>
  <si>
    <t xml:space="preserve"> Wardrobe loft</t>
  </si>
  <si>
    <t>Shelf above study</t>
  </si>
  <si>
    <t>5'0" X 0'8"</t>
  </si>
  <si>
    <t>3'0" X 7'6" ht.</t>
  </si>
  <si>
    <t>RUDY'S BEDROOM</t>
  </si>
  <si>
    <t xml:space="preserve">Seating in balcony </t>
  </si>
  <si>
    <t>wall panel in balcony</t>
  </si>
  <si>
    <t xml:space="preserve">Wardrobe </t>
  </si>
  <si>
    <t>Wardrobe small</t>
  </si>
  <si>
    <t>2'11" X 1'4" X 1'0"</t>
  </si>
  <si>
    <t>Overhead study</t>
  </si>
  <si>
    <t>10'2" X 2'0" X 1'11"</t>
  </si>
  <si>
    <t>wardrobe loft</t>
  </si>
  <si>
    <t>Seating in window</t>
  </si>
  <si>
    <t>5'0" X 1'6" X 8'0" ht.</t>
  </si>
  <si>
    <t>Wardrobe small lofts</t>
  </si>
  <si>
    <t>PASSAGE AREA</t>
  </si>
  <si>
    <t>Storage unit</t>
  </si>
  <si>
    <t>washroom door refurbish</t>
  </si>
  <si>
    <t>storage lofts</t>
  </si>
  <si>
    <t xml:space="preserve">Arch design </t>
  </si>
  <si>
    <t>2'6" X 7'6" ht.</t>
  </si>
  <si>
    <t>4'0" X 8'0"ht.</t>
  </si>
  <si>
    <t>8'6" X 2'0" X 8'0"ht.</t>
  </si>
  <si>
    <t>8'6" X 2'0" X 1'11"ht.</t>
  </si>
  <si>
    <t>6'0" X 2'0" X 2'6"ht.</t>
  </si>
  <si>
    <t>10'4" X 8'0" ht.</t>
  </si>
  <si>
    <t>9'0" X 9'0"ht.</t>
  </si>
  <si>
    <t>21.15  sqft.</t>
  </si>
  <si>
    <t>15.15 sqft.</t>
  </si>
  <si>
    <t>12 sqft.</t>
  </si>
  <si>
    <t>9.46 sqft.</t>
  </si>
  <si>
    <t>-</t>
  </si>
  <si>
    <t>15.99 sqft.</t>
  </si>
  <si>
    <t>13.61 sqft.</t>
  </si>
  <si>
    <t>29.04 sqft.</t>
  </si>
  <si>
    <t>5.94 sqft.</t>
  </si>
  <si>
    <t>25.52 sqft.</t>
  </si>
  <si>
    <t>23.94 sqft.</t>
  </si>
  <si>
    <t>15.22 sqft.</t>
  </si>
  <si>
    <t>28.2 sqft.</t>
  </si>
  <si>
    <t>39.76 sqft.</t>
  </si>
  <si>
    <t>45.36 sqft.</t>
  </si>
  <si>
    <t>6.96 sqft.</t>
  </si>
  <si>
    <t>17.93 sqft.</t>
  </si>
  <si>
    <t>21 sqft.</t>
  </si>
  <si>
    <t>32 sqft.</t>
  </si>
  <si>
    <t>14.45 sqft.</t>
  </si>
  <si>
    <t>64 sqft.</t>
  </si>
  <si>
    <t>3.2  sqft.</t>
  </si>
  <si>
    <t>21.15 sqft.</t>
  </si>
  <si>
    <t>6'0" X 6'6" X 1'6"</t>
  </si>
  <si>
    <t>81 sqft.</t>
  </si>
  <si>
    <t>82.56 sqft.</t>
  </si>
  <si>
    <t>40 sqft.</t>
  </si>
  <si>
    <t>6'0" X 6'3" X 1'6"</t>
  </si>
  <si>
    <t xml:space="preserve"> 37.5 sqft.</t>
  </si>
  <si>
    <t>3.80 sqft.</t>
  </si>
  <si>
    <t>Sofa 2.nos</t>
  </si>
  <si>
    <t>1'6" X 1'3" X 0'7"ht.</t>
  </si>
  <si>
    <t>AC</t>
  </si>
  <si>
    <t xml:space="preserve">AREA </t>
  </si>
  <si>
    <t>QTY</t>
  </si>
  <si>
    <t>LIVING ROOM</t>
  </si>
  <si>
    <t>Fan</t>
  </si>
  <si>
    <t>Ceiling lights</t>
  </si>
  <si>
    <t>KICHEN</t>
  </si>
  <si>
    <t>Exhaust fan</t>
  </si>
  <si>
    <t>ELECTRICAL LIST</t>
  </si>
  <si>
    <t>COMMON BEDROOM</t>
  </si>
  <si>
    <t>Ceiling fan</t>
  </si>
  <si>
    <t>MASTER'S BEDROOM</t>
  </si>
  <si>
    <t xml:space="preserve">Furniture spots </t>
  </si>
  <si>
    <t xml:space="preserve">2'0" </t>
  </si>
  <si>
    <t xml:space="preserve">4'0"  </t>
  </si>
  <si>
    <t>1 nos.</t>
  </si>
  <si>
    <t>6 nos.</t>
  </si>
  <si>
    <t>2 nos.</t>
  </si>
  <si>
    <t>4 nos.</t>
  </si>
  <si>
    <t>Fan (4'0")</t>
  </si>
  <si>
    <t>Fan - walk in</t>
  </si>
  <si>
    <t>Hanging light</t>
  </si>
  <si>
    <t>Terrace - living room lights</t>
  </si>
  <si>
    <t>Fan in Terrace - (4'0")</t>
  </si>
  <si>
    <t>Balcony lights</t>
  </si>
  <si>
    <t>7 nos.</t>
  </si>
  <si>
    <t>Mandir unit furniture lights</t>
  </si>
  <si>
    <t>GUEST BEDROOM</t>
  </si>
  <si>
    <t>Wardrobe</t>
  </si>
  <si>
    <t>Tv unit box</t>
  </si>
  <si>
    <t>Tv unit Panel</t>
  </si>
  <si>
    <t>Side Table 2nos.</t>
  </si>
  <si>
    <t>1'3" X2'3" X 1'0"  ht.</t>
  </si>
  <si>
    <t>5'6" X 6'3" X 1'6"ht.</t>
  </si>
  <si>
    <t>2.81 sqft.</t>
  </si>
  <si>
    <t>70.125 sqft.</t>
  </si>
  <si>
    <t>8.25 X 1'4" X 8'6" ht.</t>
  </si>
  <si>
    <t>9'0" X 8'9" ht.</t>
  </si>
  <si>
    <t>78.75 sqft.</t>
  </si>
  <si>
    <t>11'0' X  8'9" ht.</t>
  </si>
  <si>
    <t>96.25 sqft.</t>
  </si>
  <si>
    <t>16sqft.</t>
  </si>
  <si>
    <t>14 sqft.</t>
  </si>
  <si>
    <t>68 sqft.</t>
  </si>
  <si>
    <t>17 sqft.</t>
  </si>
  <si>
    <t>13.75 sqft.</t>
  </si>
  <si>
    <t>15 sqft.</t>
  </si>
  <si>
    <t>16 sqft.</t>
  </si>
  <si>
    <t>39 sqft.</t>
  </si>
  <si>
    <t>20 sqft.</t>
  </si>
  <si>
    <t>6'0" X 1'6" X 1'6"ht.</t>
  </si>
  <si>
    <t>9 sqft.</t>
  </si>
  <si>
    <t>8'0" X 9'0"ht.</t>
  </si>
  <si>
    <t>72 sqft.</t>
  </si>
  <si>
    <t>4'0" X 2'0" X 8'0"</t>
  </si>
  <si>
    <t xml:space="preserve">4'0" X 2'0" </t>
  </si>
  <si>
    <t>8 sqft.</t>
  </si>
  <si>
    <t>18 sqft.</t>
  </si>
  <si>
    <t>9'0" X 2'0"ht</t>
  </si>
  <si>
    <t>34.375 sqft.</t>
  </si>
  <si>
    <t>65 sqft.</t>
  </si>
  <si>
    <t>10'0" X 6.5ht.</t>
  </si>
  <si>
    <t>4'0" X 1'0" X 2.5ht.</t>
  </si>
  <si>
    <t>10 sqft.</t>
  </si>
  <si>
    <t>32 sq.ft</t>
  </si>
  <si>
    <t>28 sqft.</t>
  </si>
  <si>
    <t>3.5 X 2'0" X 8'0"ht.</t>
  </si>
  <si>
    <t>Window top paneling</t>
  </si>
  <si>
    <t>6x1.5</t>
  </si>
  <si>
    <t>7'0" X 7'0" ht.</t>
  </si>
  <si>
    <t>49 sqft.</t>
  </si>
  <si>
    <t>12.5 sqft.</t>
  </si>
  <si>
    <t>5'0" X 2'0" X 2.5ht.</t>
  </si>
  <si>
    <t>7'0" X1'1" X 1.5ht.</t>
  </si>
  <si>
    <t>10.5 sqft.</t>
  </si>
  <si>
    <t>36 sqft.</t>
  </si>
  <si>
    <t>24'0" X 1.5</t>
  </si>
  <si>
    <t>wardrobe sliding</t>
  </si>
  <si>
    <t>7'0" X 2'0" X 8'0"</t>
  </si>
  <si>
    <t>56 sqft.</t>
  </si>
  <si>
    <t>1.5x8</t>
  </si>
  <si>
    <t>24sqft.</t>
  </si>
  <si>
    <t>profile wardrobe 2 nos.</t>
  </si>
  <si>
    <t>TOTAL</t>
  </si>
  <si>
    <t>Pilmit</t>
  </si>
  <si>
    <t>10sqft</t>
  </si>
  <si>
    <t>Celing light paneling patta</t>
  </si>
  <si>
    <t>25rft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</si>
</sst>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5" xfId="0" applyBorder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right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" fillId="0" borderId="4" xfId="0" applyFont="1" applyBorder="1"/>
    <xf numFmtId="0" fontId="4" fillId="0" borderId="1" xfId="0" applyFont="1" applyBorder="1"/>
    <xf numFmtId="0" fontId="4" fillId="0" borderId="0" xfId="0" applyFont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5539-EF18-4CD0-BA08-BC2AC37BD63A}">
  <sheetPr>
    <pageSetUpPr fitToPage="1"/>
  </sheetPr>
  <dimension ref="B1:H194"/>
  <sheetViews>
    <sheetView topLeftCell="A45" zoomScale="85" zoomScaleNormal="85" workbookViewId="0">
      <selection activeCell="I25" sqref="I25"/>
    </sheetView>
  </sheetViews>
  <sheetFormatPr defaultRowHeight="14.4" x14ac:dyDescent="0.3"/>
  <cols>
    <col min="1" max="1" width="19.109375" customWidth="1"/>
    <col min="2" max="2" width="5" customWidth="1"/>
    <col min="3" max="3" width="14.5546875" customWidth="1"/>
    <col min="4" max="4" width="25" customWidth="1"/>
    <col min="5" max="5" width="11.21875" customWidth="1"/>
    <col min="6" max="6" width="11.77734375" customWidth="1"/>
    <col min="7" max="7" width="12.6640625" customWidth="1"/>
  </cols>
  <sheetData>
    <row r="1" spans="2:7" x14ac:dyDescent="0.3">
      <c r="B1" s="7" t="s">
        <v>13</v>
      </c>
      <c r="C1" s="7" t="s">
        <v>139</v>
      </c>
      <c r="D1" s="7" t="s">
        <v>146</v>
      </c>
      <c r="E1" s="7" t="s">
        <v>140</v>
      </c>
      <c r="F1" s="7" t="s">
        <v>22</v>
      </c>
      <c r="G1" s="7" t="s">
        <v>23</v>
      </c>
    </row>
    <row r="2" spans="2:7" x14ac:dyDescent="0.3">
      <c r="B2" s="18">
        <v>1</v>
      </c>
      <c r="C2" s="26" t="s">
        <v>141</v>
      </c>
      <c r="D2" s="27"/>
      <c r="E2" s="27"/>
      <c r="F2" s="27"/>
      <c r="G2" s="28"/>
    </row>
    <row r="3" spans="2:7" x14ac:dyDescent="0.3">
      <c r="B3" s="17"/>
      <c r="C3" s="8"/>
      <c r="D3" s="4" t="s">
        <v>143</v>
      </c>
      <c r="E3" s="4" t="s">
        <v>163</v>
      </c>
      <c r="F3" s="1"/>
      <c r="G3" s="1"/>
    </row>
    <row r="4" spans="2:7" x14ac:dyDescent="0.3">
      <c r="B4" s="17"/>
      <c r="C4" s="8"/>
      <c r="D4" s="4" t="s">
        <v>157</v>
      </c>
      <c r="E4" s="4" t="s">
        <v>155</v>
      </c>
      <c r="F4" s="1"/>
      <c r="G4" s="1"/>
    </row>
    <row r="5" spans="2:7" x14ac:dyDescent="0.3">
      <c r="B5" s="17"/>
      <c r="C5" s="8"/>
      <c r="D5" s="4" t="s">
        <v>138</v>
      </c>
      <c r="E5" s="4" t="s">
        <v>155</v>
      </c>
      <c r="F5" s="1"/>
      <c r="G5" s="1"/>
    </row>
    <row r="6" spans="2:7" x14ac:dyDescent="0.3">
      <c r="B6" s="17"/>
      <c r="C6" s="8"/>
      <c r="D6" s="4" t="s">
        <v>164</v>
      </c>
      <c r="E6" s="4" t="s">
        <v>155</v>
      </c>
      <c r="F6" s="1"/>
      <c r="G6" s="1"/>
    </row>
    <row r="7" spans="2:7" x14ac:dyDescent="0.3">
      <c r="B7" s="17"/>
      <c r="C7" s="8"/>
      <c r="D7" s="4" t="s">
        <v>160</v>
      </c>
      <c r="E7" s="4" t="s">
        <v>156</v>
      </c>
      <c r="F7" s="1"/>
      <c r="G7" s="1"/>
    </row>
    <row r="8" spans="2:7" x14ac:dyDescent="0.3">
      <c r="B8" s="1"/>
      <c r="C8" s="8"/>
      <c r="D8" s="4" t="s">
        <v>161</v>
      </c>
      <c r="E8" s="4" t="s">
        <v>153</v>
      </c>
      <c r="F8" s="1"/>
      <c r="G8" s="1"/>
    </row>
    <row r="9" spans="2:7" x14ac:dyDescent="0.3">
      <c r="B9" s="18">
        <v>2</v>
      </c>
      <c r="C9" s="26" t="s">
        <v>144</v>
      </c>
      <c r="D9" s="27"/>
      <c r="E9" s="27"/>
      <c r="F9" s="27"/>
      <c r="G9" s="28"/>
    </row>
    <row r="10" spans="2:7" x14ac:dyDescent="0.3">
      <c r="B10" s="17"/>
      <c r="C10" s="8"/>
      <c r="D10" s="4" t="s">
        <v>143</v>
      </c>
      <c r="E10" s="4" t="s">
        <v>156</v>
      </c>
      <c r="F10" s="1"/>
      <c r="G10" s="1"/>
    </row>
    <row r="11" spans="2:7" x14ac:dyDescent="0.3">
      <c r="B11" s="17"/>
      <c r="C11" s="8"/>
      <c r="D11" s="4" t="s">
        <v>157</v>
      </c>
      <c r="E11" s="4" t="s">
        <v>153</v>
      </c>
      <c r="F11" s="1"/>
      <c r="G11" s="1"/>
    </row>
    <row r="12" spans="2:7" x14ac:dyDescent="0.3">
      <c r="B12" s="17"/>
      <c r="C12" s="8"/>
      <c r="D12" s="4" t="s">
        <v>145</v>
      </c>
      <c r="E12" s="4" t="s">
        <v>110</v>
      </c>
      <c r="F12" s="1"/>
      <c r="G12" s="1"/>
    </row>
    <row r="13" spans="2:7" x14ac:dyDescent="0.3">
      <c r="B13" s="17"/>
      <c r="C13" s="8"/>
      <c r="D13" s="4" t="s">
        <v>138</v>
      </c>
      <c r="E13" s="4" t="s">
        <v>153</v>
      </c>
      <c r="F13" s="1"/>
      <c r="G13" s="1"/>
    </row>
    <row r="14" spans="2:7" x14ac:dyDescent="0.3">
      <c r="B14" s="18">
        <v>3</v>
      </c>
      <c r="C14" s="26" t="s">
        <v>147</v>
      </c>
      <c r="D14" s="27"/>
      <c r="E14" s="27"/>
      <c r="F14" s="27"/>
      <c r="G14" s="28"/>
    </row>
    <row r="15" spans="2:7" x14ac:dyDescent="0.3">
      <c r="B15" s="17"/>
      <c r="C15" s="8"/>
      <c r="D15" s="4" t="s">
        <v>143</v>
      </c>
      <c r="E15" s="4" t="s">
        <v>156</v>
      </c>
      <c r="F15" s="1"/>
      <c r="G15" s="1"/>
    </row>
    <row r="16" spans="2:7" x14ac:dyDescent="0.3">
      <c r="B16" s="17"/>
      <c r="C16" s="8"/>
      <c r="D16" s="4" t="s">
        <v>157</v>
      </c>
      <c r="E16" s="4" t="s">
        <v>153</v>
      </c>
      <c r="F16" s="1"/>
      <c r="G16" s="1"/>
    </row>
    <row r="17" spans="2:7" x14ac:dyDescent="0.3">
      <c r="B17" s="17"/>
      <c r="C17" s="8"/>
      <c r="D17" s="4" t="s">
        <v>148</v>
      </c>
      <c r="E17" s="4" t="s">
        <v>153</v>
      </c>
      <c r="F17" s="1"/>
      <c r="G17" s="1"/>
    </row>
    <row r="18" spans="2:7" x14ac:dyDescent="0.3">
      <c r="B18" s="17"/>
      <c r="C18" s="8"/>
      <c r="D18" s="4" t="s">
        <v>138</v>
      </c>
      <c r="E18" s="4" t="s">
        <v>153</v>
      </c>
      <c r="F18" s="1"/>
      <c r="G18" s="1"/>
    </row>
    <row r="19" spans="2:7" x14ac:dyDescent="0.3">
      <c r="B19" s="18">
        <v>4</v>
      </c>
      <c r="C19" s="26" t="s">
        <v>149</v>
      </c>
      <c r="D19" s="27"/>
      <c r="E19" s="27"/>
      <c r="F19" s="27"/>
      <c r="G19" s="28"/>
    </row>
    <row r="20" spans="2:7" x14ac:dyDescent="0.3">
      <c r="B20" s="17"/>
      <c r="C20" s="8"/>
      <c r="D20" s="4" t="s">
        <v>143</v>
      </c>
      <c r="E20" s="4" t="s">
        <v>156</v>
      </c>
      <c r="F20" s="1"/>
      <c r="G20" s="1"/>
    </row>
    <row r="21" spans="2:7" x14ac:dyDescent="0.3">
      <c r="B21" s="17"/>
      <c r="C21" s="8"/>
      <c r="D21" s="4" t="s">
        <v>143</v>
      </c>
      <c r="E21" s="4" t="s">
        <v>155</v>
      </c>
      <c r="F21" s="1"/>
      <c r="G21" s="1"/>
    </row>
    <row r="22" spans="2:7" x14ac:dyDescent="0.3">
      <c r="B22" s="17"/>
      <c r="C22" s="8"/>
      <c r="D22" s="4" t="s">
        <v>150</v>
      </c>
      <c r="E22" s="4" t="s">
        <v>154</v>
      </c>
      <c r="F22" s="1"/>
      <c r="G22" s="1"/>
    </row>
    <row r="23" spans="2:7" x14ac:dyDescent="0.3">
      <c r="B23" s="1"/>
      <c r="C23" s="1"/>
      <c r="D23" s="4" t="s">
        <v>142</v>
      </c>
      <c r="E23" s="4" t="s">
        <v>152</v>
      </c>
      <c r="F23" s="1"/>
      <c r="G23" s="1"/>
    </row>
    <row r="24" spans="2:7" x14ac:dyDescent="0.3">
      <c r="B24" s="1"/>
      <c r="C24" s="1"/>
      <c r="D24" s="4" t="s">
        <v>158</v>
      </c>
      <c r="E24" s="4" t="s">
        <v>151</v>
      </c>
      <c r="F24" s="1"/>
      <c r="G24" s="1"/>
    </row>
    <row r="25" spans="2:7" x14ac:dyDescent="0.3">
      <c r="B25" s="1"/>
      <c r="C25" s="1"/>
      <c r="D25" s="2" t="s">
        <v>159</v>
      </c>
      <c r="E25" s="4" t="s">
        <v>153</v>
      </c>
      <c r="F25" s="1"/>
      <c r="G25" s="1"/>
    </row>
    <row r="26" spans="2:7" x14ac:dyDescent="0.3">
      <c r="B26" s="1"/>
      <c r="C26" s="1"/>
      <c r="D26" s="4" t="s">
        <v>138</v>
      </c>
      <c r="E26" s="4" t="s">
        <v>153</v>
      </c>
      <c r="F26" s="1"/>
      <c r="G26" s="1"/>
    </row>
    <row r="27" spans="2:7" x14ac:dyDescent="0.3">
      <c r="B27" s="1"/>
      <c r="C27" s="1"/>
      <c r="D27" s="2" t="s">
        <v>162</v>
      </c>
      <c r="E27" s="4" t="s">
        <v>155</v>
      </c>
      <c r="F27" s="1"/>
      <c r="G27" s="1"/>
    </row>
    <row r="28" spans="2:7" x14ac:dyDescent="0.3">
      <c r="B28" s="18">
        <v>5</v>
      </c>
      <c r="C28" s="26" t="s">
        <v>82</v>
      </c>
      <c r="D28" s="27"/>
      <c r="E28" s="27"/>
      <c r="F28" s="27"/>
      <c r="G28" s="28"/>
    </row>
    <row r="29" spans="2:7" x14ac:dyDescent="0.3">
      <c r="B29" s="17"/>
      <c r="C29" s="8"/>
      <c r="D29" s="4" t="s">
        <v>143</v>
      </c>
      <c r="E29" s="4" t="s">
        <v>156</v>
      </c>
      <c r="F29" s="1"/>
      <c r="G29" s="1"/>
    </row>
    <row r="30" spans="2:7" x14ac:dyDescent="0.3">
      <c r="B30" s="17"/>
      <c r="C30" s="8"/>
      <c r="D30" s="4" t="s">
        <v>157</v>
      </c>
      <c r="E30" s="4" t="s">
        <v>153</v>
      </c>
      <c r="F30" s="1"/>
      <c r="G30" s="1"/>
    </row>
    <row r="31" spans="2:7" x14ac:dyDescent="0.3">
      <c r="B31" s="17"/>
      <c r="C31" s="8"/>
      <c r="D31" s="4" t="s">
        <v>138</v>
      </c>
      <c r="E31" s="4" t="s">
        <v>153</v>
      </c>
      <c r="F31" s="1"/>
      <c r="G31" s="1"/>
    </row>
    <row r="32" spans="2:7" x14ac:dyDescent="0.3">
      <c r="D32" s="6"/>
      <c r="E32" s="6"/>
    </row>
    <row r="33" spans="2:7" x14ac:dyDescent="0.3">
      <c r="D33" s="13"/>
      <c r="E33" s="6"/>
    </row>
    <row r="34" spans="2:7" ht="13.8" customHeight="1" x14ac:dyDescent="0.3">
      <c r="D34" s="13"/>
      <c r="E34" s="6"/>
    </row>
    <row r="35" spans="2:7" x14ac:dyDescent="0.3">
      <c r="D35" s="13"/>
      <c r="E35" s="6"/>
    </row>
    <row r="36" spans="2:7" x14ac:dyDescent="0.3">
      <c r="B36" s="5"/>
      <c r="C36" s="5"/>
      <c r="D36" s="5"/>
      <c r="E36" s="5"/>
      <c r="F36" s="5"/>
      <c r="G36" s="5"/>
    </row>
    <row r="37" spans="2:7" x14ac:dyDescent="0.3">
      <c r="D37" s="6"/>
      <c r="E37" s="6"/>
    </row>
    <row r="38" spans="2:7" x14ac:dyDescent="0.3">
      <c r="B38" s="5"/>
      <c r="C38" s="5"/>
      <c r="D38" s="5"/>
      <c r="E38" s="5"/>
      <c r="F38" s="5"/>
      <c r="G38" s="5"/>
    </row>
    <row r="39" spans="2:7" x14ac:dyDescent="0.3">
      <c r="D39" s="13"/>
      <c r="E39" s="6"/>
    </row>
    <row r="40" spans="2:7" x14ac:dyDescent="0.3">
      <c r="D40" s="13"/>
      <c r="E40" s="6"/>
    </row>
    <row r="41" spans="2:7" x14ac:dyDescent="0.3">
      <c r="D41" s="6"/>
      <c r="E41" s="6"/>
    </row>
    <row r="42" spans="2:7" x14ac:dyDescent="0.3">
      <c r="D42" s="6"/>
      <c r="E42" s="6"/>
    </row>
    <row r="43" spans="2:7" x14ac:dyDescent="0.3">
      <c r="B43" s="5"/>
      <c r="C43" s="5"/>
      <c r="D43" s="5"/>
      <c r="E43" s="5"/>
      <c r="F43" s="5"/>
      <c r="G43" s="5"/>
    </row>
    <row r="44" spans="2:7" x14ac:dyDescent="0.3">
      <c r="D44" s="6"/>
      <c r="E44" s="6"/>
    </row>
    <row r="45" spans="2:7" x14ac:dyDescent="0.3">
      <c r="D45" s="6"/>
      <c r="E45" s="6"/>
    </row>
    <row r="46" spans="2:7" x14ac:dyDescent="0.3">
      <c r="D46" s="6"/>
      <c r="E46" s="6"/>
    </row>
    <row r="47" spans="2:7" x14ac:dyDescent="0.3">
      <c r="D47" s="6"/>
      <c r="E47" s="6"/>
    </row>
    <row r="48" spans="2:7" x14ac:dyDescent="0.3">
      <c r="D48" s="6"/>
      <c r="E48" s="6"/>
    </row>
    <row r="49" spans="2:7" x14ac:dyDescent="0.3">
      <c r="D49" s="6"/>
      <c r="E49" s="6"/>
    </row>
    <row r="50" spans="2:7" x14ac:dyDescent="0.3">
      <c r="B50" s="5"/>
      <c r="C50" s="5"/>
      <c r="D50" s="5"/>
      <c r="E50" s="5"/>
      <c r="F50" s="5"/>
      <c r="G50" s="5"/>
    </row>
    <row r="51" spans="2:7" x14ac:dyDescent="0.3">
      <c r="D51" s="6"/>
      <c r="E51" s="6"/>
    </row>
    <row r="52" spans="2:7" x14ac:dyDescent="0.3">
      <c r="D52" s="6"/>
      <c r="E52" s="6"/>
    </row>
    <row r="53" spans="2:7" x14ac:dyDescent="0.3">
      <c r="D53" s="6"/>
      <c r="E53" s="6"/>
    </row>
    <row r="54" spans="2:7" x14ac:dyDescent="0.3">
      <c r="C54" s="6"/>
      <c r="D54" s="6"/>
      <c r="E54" s="6"/>
    </row>
    <row r="55" spans="2:7" x14ac:dyDescent="0.3">
      <c r="D55" s="6"/>
      <c r="E55" s="6"/>
    </row>
    <row r="56" spans="2:7" x14ac:dyDescent="0.3">
      <c r="D56" s="6"/>
      <c r="E56" s="6"/>
    </row>
    <row r="57" spans="2:7" x14ac:dyDescent="0.3">
      <c r="D57" s="6"/>
      <c r="E57" s="6"/>
    </row>
    <row r="58" spans="2:7" x14ac:dyDescent="0.3">
      <c r="D58" s="6"/>
      <c r="E58" s="6"/>
    </row>
    <row r="59" spans="2:7" x14ac:dyDescent="0.3">
      <c r="D59" s="6"/>
      <c r="E59" s="6"/>
    </row>
    <row r="60" spans="2:7" x14ac:dyDescent="0.3">
      <c r="D60" s="6"/>
      <c r="E60" s="6"/>
    </row>
    <row r="61" spans="2:7" x14ac:dyDescent="0.3">
      <c r="D61" s="6"/>
      <c r="E61" s="6"/>
    </row>
    <row r="62" spans="2:7" x14ac:dyDescent="0.3">
      <c r="D62" s="6"/>
      <c r="E62" s="6"/>
    </row>
    <row r="63" spans="2:7" x14ac:dyDescent="0.3">
      <c r="D63" s="6"/>
      <c r="E63" s="6"/>
    </row>
    <row r="64" spans="2:7" ht="15" customHeight="1" x14ac:dyDescent="0.3">
      <c r="D64" s="6"/>
      <c r="E64" s="6"/>
    </row>
    <row r="65" spans="2:7" ht="15" customHeight="1" x14ac:dyDescent="0.3">
      <c r="D65" s="6"/>
      <c r="E65" s="6"/>
    </row>
    <row r="66" spans="2:7" ht="15" customHeight="1" x14ac:dyDescent="0.3">
      <c r="D66" s="6"/>
      <c r="E66" s="6"/>
    </row>
    <row r="67" spans="2:7" ht="15" customHeight="1" x14ac:dyDescent="0.3">
      <c r="D67" s="6"/>
      <c r="E67" s="6"/>
    </row>
    <row r="68" spans="2:7" ht="15" customHeight="1" x14ac:dyDescent="0.3">
      <c r="D68" s="6"/>
      <c r="E68" s="6"/>
    </row>
    <row r="69" spans="2:7" ht="15" customHeight="1" x14ac:dyDescent="0.3">
      <c r="D69" s="6"/>
      <c r="E69" s="6"/>
    </row>
    <row r="70" spans="2:7" ht="15" customHeight="1" x14ac:dyDescent="0.3">
      <c r="D70" s="6"/>
      <c r="E70" s="6"/>
    </row>
    <row r="71" spans="2:7" ht="15" customHeight="1" x14ac:dyDescent="0.3">
      <c r="D71" s="6"/>
      <c r="E71" s="6"/>
    </row>
    <row r="72" spans="2:7" ht="15" customHeight="1" x14ac:dyDescent="0.3">
      <c r="D72" s="6"/>
      <c r="E72" s="6"/>
    </row>
    <row r="73" spans="2:7" x14ac:dyDescent="0.3">
      <c r="D73" s="6"/>
    </row>
    <row r="74" spans="2:7" x14ac:dyDescent="0.3">
      <c r="B74" s="5"/>
      <c r="C74" s="5"/>
      <c r="D74" s="5"/>
      <c r="E74" s="5"/>
      <c r="F74" s="5"/>
      <c r="G74" s="5"/>
    </row>
    <row r="75" spans="2:7" x14ac:dyDescent="0.3">
      <c r="D75" s="6"/>
      <c r="E75" s="6"/>
    </row>
    <row r="76" spans="2:7" x14ac:dyDescent="0.3">
      <c r="D76" s="6"/>
      <c r="E76" s="6"/>
    </row>
    <row r="77" spans="2:7" x14ac:dyDescent="0.3">
      <c r="D77" s="6"/>
      <c r="E77" s="6"/>
    </row>
    <row r="78" spans="2:7" x14ac:dyDescent="0.3">
      <c r="D78" s="6"/>
      <c r="E78" s="6"/>
    </row>
    <row r="79" spans="2:7" x14ac:dyDescent="0.3">
      <c r="D79" s="6"/>
      <c r="E79" s="6"/>
    </row>
    <row r="80" spans="2:7" x14ac:dyDescent="0.3">
      <c r="D80" s="6"/>
      <c r="E80" s="6"/>
    </row>
    <row r="81" spans="2:8" x14ac:dyDescent="0.3">
      <c r="D81" s="6"/>
      <c r="E81" s="6"/>
    </row>
    <row r="82" spans="2:8" x14ac:dyDescent="0.3">
      <c r="D82" s="6"/>
      <c r="E82" s="6"/>
    </row>
    <row r="83" spans="2:8" x14ac:dyDescent="0.3">
      <c r="D83" s="6"/>
      <c r="E83" s="6"/>
    </row>
    <row r="84" spans="2:8" x14ac:dyDescent="0.3">
      <c r="B84" s="5"/>
      <c r="C84" s="5"/>
      <c r="D84" s="5"/>
      <c r="E84" s="5"/>
      <c r="F84" s="5"/>
      <c r="G84" s="5"/>
    </row>
    <row r="85" spans="2:8" x14ac:dyDescent="0.3">
      <c r="C85" s="16"/>
      <c r="D85" s="6"/>
    </row>
    <row r="86" spans="2:8" ht="15.6" x14ac:dyDescent="0.3">
      <c r="C86" s="16"/>
      <c r="D86" s="6"/>
      <c r="H86" s="9"/>
    </row>
    <row r="87" spans="2:8" x14ac:dyDescent="0.3">
      <c r="C87" s="16"/>
      <c r="D87" s="6"/>
    </row>
    <row r="88" spans="2:8" x14ac:dyDescent="0.3">
      <c r="C88" s="16"/>
    </row>
    <row r="89" spans="2:8" x14ac:dyDescent="0.3">
      <c r="C89" s="16"/>
    </row>
    <row r="90" spans="2:8" x14ac:dyDescent="0.3">
      <c r="C90" s="16"/>
      <c r="D90" s="6"/>
      <c r="E90" s="6"/>
    </row>
    <row r="91" spans="2:8" x14ac:dyDescent="0.3">
      <c r="C91" s="16"/>
      <c r="D91" s="6"/>
    </row>
    <row r="92" spans="2:8" x14ac:dyDescent="0.3">
      <c r="C92" s="16"/>
    </row>
    <row r="93" spans="2:8" x14ac:dyDescent="0.3">
      <c r="C93" s="5"/>
    </row>
    <row r="97" spans="3:3" x14ac:dyDescent="0.3">
      <c r="C97" s="5"/>
    </row>
    <row r="101" spans="3:3" x14ac:dyDescent="0.3">
      <c r="C101" s="5"/>
    </row>
    <row r="112" spans="3:3" x14ac:dyDescent="0.3">
      <c r="C112" s="5"/>
    </row>
    <row r="118" spans="2:3" x14ac:dyDescent="0.3">
      <c r="C118" s="5"/>
    </row>
    <row r="126" spans="2:3" x14ac:dyDescent="0.3">
      <c r="B126" s="5"/>
      <c r="C126" s="5"/>
    </row>
    <row r="152" spans="2:3" x14ac:dyDescent="0.3">
      <c r="B152" s="5"/>
      <c r="C152" s="5"/>
    </row>
    <row r="160" spans="2:3" x14ac:dyDescent="0.3">
      <c r="B160" s="5"/>
      <c r="C160" s="5"/>
    </row>
    <row r="169" spans="2:3" x14ac:dyDescent="0.3">
      <c r="B169" s="5"/>
      <c r="C169" s="5"/>
    </row>
    <row r="194" spans="2:3" x14ac:dyDescent="0.3">
      <c r="B194" s="5"/>
      <c r="C194" s="5"/>
    </row>
  </sheetData>
  <mergeCells count="5">
    <mergeCell ref="C2:G2"/>
    <mergeCell ref="C9:G9"/>
    <mergeCell ref="C14:G14"/>
    <mergeCell ref="C19:G19"/>
    <mergeCell ref="C28:G28"/>
  </mergeCells>
  <printOptions horizontalCentered="1" verticalCentered="1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1B92-3911-42B0-B279-95C6F2D0A43D}">
  <dimension ref="B1:H206"/>
  <sheetViews>
    <sheetView tabSelected="1" topLeftCell="A85" zoomScale="83" zoomScaleNormal="105" workbookViewId="0">
      <selection activeCell="H95" sqref="H95"/>
    </sheetView>
  </sheetViews>
  <sheetFormatPr defaultRowHeight="14.4" x14ac:dyDescent="0.3"/>
  <cols>
    <col min="1" max="1" width="1.88671875" customWidth="1"/>
    <col min="2" max="2" width="5" customWidth="1"/>
    <col min="3" max="3" width="38.33203125" customWidth="1"/>
    <col min="4" max="4" width="20.77734375" customWidth="1"/>
    <col min="5" max="5" width="11.21875" customWidth="1"/>
    <col min="6" max="6" width="11.77734375" customWidth="1"/>
    <col min="7" max="7" width="12.6640625" customWidth="1"/>
  </cols>
  <sheetData>
    <row r="1" spans="2:7" x14ac:dyDescent="0.3">
      <c r="B1" s="3" t="s">
        <v>13</v>
      </c>
      <c r="C1" s="7" t="s">
        <v>1</v>
      </c>
      <c r="D1" s="3" t="s">
        <v>0</v>
      </c>
      <c r="E1" s="3" t="s">
        <v>21</v>
      </c>
      <c r="F1" s="3" t="s">
        <v>22</v>
      </c>
      <c r="G1" s="3" t="s">
        <v>23</v>
      </c>
    </row>
    <row r="2" spans="2:7" x14ac:dyDescent="0.3">
      <c r="B2" s="30" t="s">
        <v>3</v>
      </c>
      <c r="C2" s="31"/>
      <c r="D2" s="31"/>
      <c r="E2" s="31"/>
      <c r="F2" s="31"/>
      <c r="G2" s="32"/>
    </row>
    <row r="3" spans="2:7" x14ac:dyDescent="0.3">
      <c r="B3" s="1">
        <v>1</v>
      </c>
      <c r="C3" s="1" t="s">
        <v>20</v>
      </c>
      <c r="D3" s="4" t="s">
        <v>81</v>
      </c>
      <c r="E3" s="4" t="s">
        <v>106</v>
      </c>
      <c r="F3" s="1"/>
      <c r="G3" s="1"/>
    </row>
    <row r="4" spans="2:7" x14ac:dyDescent="0.3">
      <c r="B4" s="1">
        <v>2</v>
      </c>
      <c r="C4" s="1" t="s">
        <v>16</v>
      </c>
      <c r="D4" s="4" t="s">
        <v>39</v>
      </c>
      <c r="E4" s="6" t="s">
        <v>107</v>
      </c>
      <c r="F4" s="1">
        <v>1400</v>
      </c>
      <c r="G4" s="1">
        <v>21210</v>
      </c>
    </row>
    <row r="5" spans="2:7" x14ac:dyDescent="0.3">
      <c r="B5" s="1">
        <v>3</v>
      </c>
      <c r="C5" s="1" t="s">
        <v>41</v>
      </c>
      <c r="D5" s="4" t="s">
        <v>40</v>
      </c>
      <c r="E5" s="4" t="s">
        <v>108</v>
      </c>
      <c r="F5" s="1">
        <v>1400</v>
      </c>
      <c r="G5" s="1">
        <v>16800</v>
      </c>
    </row>
    <row r="6" spans="2:7" x14ac:dyDescent="0.3">
      <c r="B6" s="1">
        <v>4</v>
      </c>
      <c r="C6" s="1" t="s">
        <v>42</v>
      </c>
      <c r="D6" s="4" t="s">
        <v>43</v>
      </c>
      <c r="E6" s="4" t="s">
        <v>109</v>
      </c>
      <c r="F6" s="1">
        <v>1450</v>
      </c>
      <c r="G6" s="1">
        <v>13717</v>
      </c>
    </row>
    <row r="7" spans="2:7" x14ac:dyDescent="0.3">
      <c r="B7" s="1">
        <v>5</v>
      </c>
      <c r="C7" s="1" t="s">
        <v>2</v>
      </c>
      <c r="D7" s="4" t="s">
        <v>174</v>
      </c>
      <c r="E7" s="4" t="s">
        <v>173</v>
      </c>
      <c r="F7" s="1">
        <v>1000</v>
      </c>
      <c r="G7" s="1">
        <v>70125</v>
      </c>
    </row>
    <row r="8" spans="2:7" x14ac:dyDescent="0.3">
      <c r="B8" s="1">
        <v>6</v>
      </c>
      <c r="C8" s="1" t="s">
        <v>26</v>
      </c>
      <c r="D8" s="2" t="s">
        <v>175</v>
      </c>
      <c r="E8" s="4" t="s">
        <v>176</v>
      </c>
      <c r="F8" s="1">
        <v>1000</v>
      </c>
      <c r="G8" s="1">
        <v>78750</v>
      </c>
    </row>
    <row r="9" spans="2:7" x14ac:dyDescent="0.3">
      <c r="B9" s="1">
        <v>7</v>
      </c>
      <c r="C9" s="1" t="s">
        <v>15</v>
      </c>
      <c r="D9" s="2" t="s">
        <v>44</v>
      </c>
      <c r="E9" s="4" t="s">
        <v>110</v>
      </c>
      <c r="F9" s="1"/>
      <c r="G9" s="1"/>
    </row>
    <row r="10" spans="2:7" x14ac:dyDescent="0.3">
      <c r="B10" s="1">
        <v>8</v>
      </c>
      <c r="C10" s="1" t="s">
        <v>136</v>
      </c>
      <c r="D10" s="2" t="s">
        <v>48</v>
      </c>
      <c r="E10" s="4" t="s">
        <v>110</v>
      </c>
      <c r="F10" s="1"/>
      <c r="G10" s="1"/>
    </row>
    <row r="11" spans="2:7" x14ac:dyDescent="0.3">
      <c r="B11" s="1">
        <v>9</v>
      </c>
      <c r="C11" s="1" t="s">
        <v>14</v>
      </c>
      <c r="D11" s="4" t="s">
        <v>177</v>
      </c>
      <c r="E11" s="4" t="s">
        <v>178</v>
      </c>
      <c r="F11" s="1">
        <v>1000</v>
      </c>
      <c r="G11" s="1">
        <v>96250</v>
      </c>
    </row>
    <row r="12" spans="2:7" x14ac:dyDescent="0.3">
      <c r="B12" s="1">
        <v>10</v>
      </c>
      <c r="C12" s="1" t="s">
        <v>24</v>
      </c>
      <c r="D12" s="2" t="s">
        <v>45</v>
      </c>
      <c r="E12" s="4" t="s">
        <v>110</v>
      </c>
      <c r="F12" s="1"/>
      <c r="G12" s="1"/>
    </row>
    <row r="13" spans="2:7" x14ac:dyDescent="0.3">
      <c r="B13" s="1">
        <v>11</v>
      </c>
      <c r="C13" s="1" t="s">
        <v>25</v>
      </c>
      <c r="D13" s="2" t="s">
        <v>46</v>
      </c>
      <c r="E13" s="4" t="s">
        <v>110</v>
      </c>
      <c r="F13" s="1"/>
      <c r="G13" s="1"/>
    </row>
    <row r="14" spans="2:7" ht="18" x14ac:dyDescent="0.35">
      <c r="B14" s="19"/>
      <c r="C14" s="20"/>
      <c r="D14" s="21"/>
      <c r="E14" s="22"/>
      <c r="F14" s="20"/>
      <c r="G14" s="23">
        <f>SUM(G2:G13)</f>
        <v>296852</v>
      </c>
    </row>
    <row r="15" spans="2:7" x14ac:dyDescent="0.3">
      <c r="B15" s="30" t="s">
        <v>4</v>
      </c>
      <c r="C15" s="31"/>
      <c r="D15" s="31"/>
      <c r="E15" s="31"/>
      <c r="F15" s="31"/>
      <c r="G15" s="32"/>
    </row>
    <row r="16" spans="2:7" x14ac:dyDescent="0.3">
      <c r="B16" s="1">
        <v>1</v>
      </c>
      <c r="C16" s="11" t="s">
        <v>55</v>
      </c>
      <c r="D16" s="4" t="s">
        <v>62</v>
      </c>
      <c r="E16" s="4" t="s">
        <v>179</v>
      </c>
      <c r="F16" s="4">
        <v>275</v>
      </c>
      <c r="G16" s="4">
        <v>4400</v>
      </c>
    </row>
    <row r="17" spans="2:7" x14ac:dyDescent="0.3">
      <c r="B17" s="1">
        <v>2</v>
      </c>
      <c r="C17" s="11" t="s">
        <v>56</v>
      </c>
      <c r="D17" s="4" t="s">
        <v>63</v>
      </c>
      <c r="E17" s="4" t="s">
        <v>180</v>
      </c>
      <c r="F17" s="4">
        <v>275</v>
      </c>
      <c r="G17" s="4">
        <v>3850</v>
      </c>
    </row>
    <row r="18" spans="2:7" x14ac:dyDescent="0.3">
      <c r="B18" s="1">
        <v>3</v>
      </c>
      <c r="C18" s="11" t="s">
        <v>57</v>
      </c>
      <c r="D18" s="4" t="s">
        <v>62</v>
      </c>
      <c r="E18" s="4" t="s">
        <v>111</v>
      </c>
      <c r="F18" s="10"/>
      <c r="G18" s="10"/>
    </row>
    <row r="19" spans="2:7" x14ac:dyDescent="0.3">
      <c r="B19" s="1">
        <v>4</v>
      </c>
      <c r="C19" s="1" t="s">
        <v>58</v>
      </c>
      <c r="D19" s="4" t="s">
        <v>63</v>
      </c>
      <c r="E19" s="4" t="s">
        <v>112</v>
      </c>
      <c r="F19" s="1"/>
      <c r="G19" s="1"/>
    </row>
    <row r="20" spans="2:7" x14ac:dyDescent="0.3">
      <c r="B20" s="1">
        <v>5</v>
      </c>
      <c r="C20" s="1" t="s">
        <v>59</v>
      </c>
      <c r="D20" s="2" t="s">
        <v>66</v>
      </c>
      <c r="E20" s="4" t="s">
        <v>113</v>
      </c>
      <c r="F20" s="1">
        <v>1200</v>
      </c>
      <c r="G20" s="1">
        <v>34848</v>
      </c>
    </row>
    <row r="21" spans="2:7" x14ac:dyDescent="0.3">
      <c r="B21" s="1">
        <v>6</v>
      </c>
      <c r="C21" s="1" t="s">
        <v>60</v>
      </c>
      <c r="D21" s="4" t="s">
        <v>64</v>
      </c>
      <c r="E21" s="4" t="s">
        <v>114</v>
      </c>
      <c r="F21" s="1">
        <v>1200</v>
      </c>
      <c r="G21" s="1">
        <v>7128</v>
      </c>
    </row>
    <row r="22" spans="2:7" x14ac:dyDescent="0.3">
      <c r="B22" s="1">
        <v>7</v>
      </c>
      <c r="C22" s="1" t="s">
        <v>37</v>
      </c>
      <c r="D22" s="2" t="s">
        <v>65</v>
      </c>
      <c r="E22" s="4" t="s">
        <v>115</v>
      </c>
      <c r="F22" s="1">
        <v>1100</v>
      </c>
      <c r="G22" s="1">
        <v>28072</v>
      </c>
    </row>
    <row r="23" spans="2:7" x14ac:dyDescent="0.3">
      <c r="B23" s="1">
        <v>8</v>
      </c>
      <c r="C23" s="1" t="s">
        <v>61</v>
      </c>
      <c r="D23" s="2" t="s">
        <v>68</v>
      </c>
      <c r="E23" s="4" t="s">
        <v>116</v>
      </c>
      <c r="F23" s="1">
        <v>1100</v>
      </c>
      <c r="G23" s="1">
        <v>26334</v>
      </c>
    </row>
    <row r="24" spans="2:7" x14ac:dyDescent="0.3">
      <c r="B24" s="1">
        <v>9</v>
      </c>
      <c r="C24" s="1" t="s">
        <v>5</v>
      </c>
      <c r="D24" s="2" t="s">
        <v>67</v>
      </c>
      <c r="E24" s="4" t="s">
        <v>117</v>
      </c>
      <c r="F24" s="1"/>
      <c r="G24" s="1"/>
    </row>
    <row r="25" spans="2:7" x14ac:dyDescent="0.3">
      <c r="B25" s="1">
        <v>10</v>
      </c>
      <c r="C25" s="1" t="s">
        <v>69</v>
      </c>
      <c r="D25" s="2" t="s">
        <v>71</v>
      </c>
      <c r="E25" s="4" t="s">
        <v>118</v>
      </c>
      <c r="F25" s="1"/>
      <c r="G25" s="1"/>
    </row>
    <row r="26" spans="2:7" x14ac:dyDescent="0.3">
      <c r="B26" s="1">
        <v>11</v>
      </c>
      <c r="C26" s="1" t="s">
        <v>72</v>
      </c>
      <c r="D26" s="2" t="s">
        <v>70</v>
      </c>
      <c r="E26" s="4" t="s">
        <v>119</v>
      </c>
      <c r="F26" s="1">
        <v>1000</v>
      </c>
      <c r="G26" s="1">
        <v>39760</v>
      </c>
    </row>
    <row r="27" spans="2:7" ht="18" x14ac:dyDescent="0.35">
      <c r="B27" s="1"/>
      <c r="C27" s="1"/>
      <c r="D27" s="2"/>
      <c r="E27" s="4"/>
      <c r="F27" s="1"/>
      <c r="G27" s="24">
        <f>SUM(G16:G26)</f>
        <v>144392</v>
      </c>
    </row>
    <row r="28" spans="2:7" x14ac:dyDescent="0.3">
      <c r="B28" s="29" t="s">
        <v>6</v>
      </c>
      <c r="C28" s="29"/>
      <c r="D28" s="29"/>
      <c r="E28" s="29"/>
      <c r="F28" s="29"/>
      <c r="G28" s="29"/>
    </row>
    <row r="29" spans="2:7" x14ac:dyDescent="0.3">
      <c r="B29" s="1">
        <v>1</v>
      </c>
      <c r="C29" s="1" t="s">
        <v>12</v>
      </c>
      <c r="D29" s="2" t="s">
        <v>47</v>
      </c>
      <c r="E29" s="4" t="s">
        <v>120</v>
      </c>
      <c r="F29" s="1">
        <v>1400</v>
      </c>
      <c r="G29" s="1">
        <f>1400*45.36</f>
        <v>63504</v>
      </c>
    </row>
    <row r="30" spans="2:7" x14ac:dyDescent="0.3">
      <c r="B30" s="1">
        <v>2</v>
      </c>
      <c r="C30" s="1" t="s">
        <v>51</v>
      </c>
      <c r="D30" s="4" t="s">
        <v>50</v>
      </c>
      <c r="E30" s="4" t="s">
        <v>121</v>
      </c>
      <c r="F30" s="1"/>
      <c r="G30" s="1"/>
    </row>
    <row r="31" spans="2:7" x14ac:dyDescent="0.3">
      <c r="B31" s="1">
        <v>3</v>
      </c>
      <c r="C31" s="1" t="s">
        <v>17</v>
      </c>
      <c r="D31" s="4" t="s">
        <v>52</v>
      </c>
      <c r="E31" s="4" t="s">
        <v>122</v>
      </c>
      <c r="F31" s="1">
        <v>1000</v>
      </c>
      <c r="G31" s="1">
        <v>17930</v>
      </c>
    </row>
    <row r="32" spans="2:7" x14ac:dyDescent="0.3">
      <c r="B32" s="1">
        <v>4</v>
      </c>
      <c r="C32" s="1" t="s">
        <v>49</v>
      </c>
      <c r="D32" s="4" t="s">
        <v>53</v>
      </c>
      <c r="E32" s="4" t="s">
        <v>123</v>
      </c>
      <c r="F32" s="1">
        <v>1000</v>
      </c>
      <c r="G32" s="1">
        <v>21000</v>
      </c>
    </row>
    <row r="33" spans="2:7" ht="18" x14ac:dyDescent="0.35">
      <c r="D33" s="13"/>
      <c r="E33" s="6"/>
      <c r="G33" s="25">
        <f>SUM(G29:G32)</f>
        <v>102434</v>
      </c>
    </row>
    <row r="34" spans="2:7" ht="13.8" customHeight="1" x14ac:dyDescent="0.3">
      <c r="D34" s="13"/>
      <c r="E34" s="6"/>
    </row>
    <row r="35" spans="2:7" x14ac:dyDescent="0.3">
      <c r="D35" s="13"/>
      <c r="E35" s="6"/>
    </row>
    <row r="36" spans="2:7" x14ac:dyDescent="0.3">
      <c r="B36" s="33"/>
      <c r="C36" s="33"/>
      <c r="D36" s="33"/>
      <c r="E36" s="33"/>
      <c r="F36" s="33"/>
      <c r="G36" s="33"/>
    </row>
    <row r="37" spans="2:7" x14ac:dyDescent="0.3">
      <c r="D37" s="6"/>
      <c r="E37" s="6"/>
    </row>
    <row r="38" spans="2:7" x14ac:dyDescent="0.3">
      <c r="B38" s="29" t="s">
        <v>94</v>
      </c>
      <c r="C38" s="29"/>
      <c r="D38" s="29"/>
      <c r="E38" s="29"/>
      <c r="F38" s="29"/>
      <c r="G38" s="29"/>
    </row>
    <row r="39" spans="2:7" x14ac:dyDescent="0.3">
      <c r="B39" s="12">
        <v>1</v>
      </c>
      <c r="C39" s="12" t="s">
        <v>95</v>
      </c>
      <c r="D39" s="14" t="s">
        <v>101</v>
      </c>
      <c r="E39" s="15" t="s">
        <v>181</v>
      </c>
      <c r="F39" s="12">
        <v>1600</v>
      </c>
      <c r="G39" s="12">
        <f>68*F39</f>
        <v>108800</v>
      </c>
    </row>
    <row r="40" spans="2:7" x14ac:dyDescent="0.3">
      <c r="B40" s="1">
        <v>2</v>
      </c>
      <c r="C40" s="1" t="s">
        <v>97</v>
      </c>
      <c r="D40" s="2" t="s">
        <v>102</v>
      </c>
      <c r="E40" s="4" t="s">
        <v>182</v>
      </c>
      <c r="F40" s="1">
        <v>1100</v>
      </c>
      <c r="G40" s="1">
        <f>17*F40</f>
        <v>18700</v>
      </c>
    </row>
    <row r="41" spans="2:7" x14ac:dyDescent="0.3">
      <c r="B41" s="1">
        <v>3</v>
      </c>
      <c r="C41" s="1" t="s">
        <v>96</v>
      </c>
      <c r="D41" s="4" t="s">
        <v>99</v>
      </c>
      <c r="E41" s="4" t="s">
        <v>125</v>
      </c>
      <c r="F41" s="1"/>
      <c r="G41" s="1"/>
    </row>
    <row r="42" spans="2:7" x14ac:dyDescent="0.3">
      <c r="B42" s="1">
        <v>4</v>
      </c>
      <c r="C42" s="1" t="s">
        <v>98</v>
      </c>
      <c r="D42" s="4" t="s">
        <v>100</v>
      </c>
      <c r="E42" s="4" t="s">
        <v>124</v>
      </c>
      <c r="F42" s="1"/>
      <c r="G42" s="1"/>
    </row>
    <row r="43" spans="2:7" ht="18" x14ac:dyDescent="0.35">
      <c r="B43" s="1"/>
      <c r="C43" s="1"/>
      <c r="D43" s="4"/>
      <c r="E43" s="4"/>
      <c r="F43" s="1"/>
      <c r="G43" s="24">
        <f>SUM(G39:G42)</f>
        <v>127500</v>
      </c>
    </row>
    <row r="44" spans="2:7" x14ac:dyDescent="0.3">
      <c r="B44" s="29" t="s">
        <v>54</v>
      </c>
      <c r="C44" s="29"/>
      <c r="D44" s="29"/>
      <c r="E44" s="29"/>
      <c r="F44" s="29"/>
      <c r="G44" s="29"/>
    </row>
    <row r="45" spans="2:7" x14ac:dyDescent="0.3">
      <c r="B45" s="1">
        <v>1</v>
      </c>
      <c r="C45" s="1" t="s">
        <v>7</v>
      </c>
      <c r="D45" s="4" t="s">
        <v>74</v>
      </c>
      <c r="E45" s="4" t="s">
        <v>183</v>
      </c>
      <c r="F45" s="1">
        <v>1400</v>
      </c>
      <c r="G45" s="1">
        <f>13.75*F45</f>
        <v>19250</v>
      </c>
    </row>
    <row r="46" spans="2:7" x14ac:dyDescent="0.3">
      <c r="B46" s="1">
        <v>2</v>
      </c>
      <c r="C46" s="1" t="s">
        <v>73</v>
      </c>
      <c r="D46" s="4" t="s">
        <v>103</v>
      </c>
      <c r="E46" s="4" t="s">
        <v>184</v>
      </c>
      <c r="F46" s="1">
        <v>1400</v>
      </c>
      <c r="G46" s="1">
        <f>15*F46</f>
        <v>21000</v>
      </c>
    </row>
    <row r="47" spans="2:7" x14ac:dyDescent="0.3">
      <c r="B47" s="1">
        <v>4</v>
      </c>
      <c r="C47" s="1" t="s">
        <v>75</v>
      </c>
      <c r="D47" s="4" t="s">
        <v>76</v>
      </c>
      <c r="E47" s="4" t="s">
        <v>126</v>
      </c>
      <c r="F47" s="1">
        <v>1700</v>
      </c>
      <c r="G47" s="1">
        <f>64*F47</f>
        <v>108800</v>
      </c>
    </row>
    <row r="48" spans="2:7" x14ac:dyDescent="0.3">
      <c r="B48" s="1">
        <v>5</v>
      </c>
      <c r="C48" s="1" t="s">
        <v>78</v>
      </c>
      <c r="D48" s="4" t="s">
        <v>77</v>
      </c>
      <c r="E48" s="4" t="s">
        <v>185</v>
      </c>
      <c r="F48" s="1">
        <v>1100</v>
      </c>
      <c r="G48" s="1">
        <f>16*F48</f>
        <v>17600</v>
      </c>
    </row>
    <row r="49" spans="2:7" x14ac:dyDescent="0.3">
      <c r="B49" s="1">
        <v>6</v>
      </c>
      <c r="C49" s="1" t="s">
        <v>79</v>
      </c>
      <c r="D49" s="4" t="s">
        <v>80</v>
      </c>
      <c r="E49" s="4" t="s">
        <v>127</v>
      </c>
      <c r="F49" s="1"/>
      <c r="G49" s="1">
        <v>5000</v>
      </c>
    </row>
    <row r="50" spans="2:7" x14ac:dyDescent="0.3">
      <c r="B50" s="1">
        <v>7</v>
      </c>
      <c r="C50" s="1" t="s">
        <v>38</v>
      </c>
      <c r="D50" s="4" t="s">
        <v>81</v>
      </c>
      <c r="E50" s="4" t="s">
        <v>128</v>
      </c>
      <c r="F50" s="1"/>
      <c r="G50" s="1"/>
    </row>
    <row r="51" spans="2:7" ht="18" x14ac:dyDescent="0.35">
      <c r="B51" s="1"/>
      <c r="C51" s="1"/>
      <c r="D51" s="4"/>
      <c r="E51" s="4"/>
      <c r="F51" s="1"/>
      <c r="G51" s="24">
        <f>SUM(G45:G50)</f>
        <v>171650</v>
      </c>
    </row>
    <row r="52" spans="2:7" x14ac:dyDescent="0.3">
      <c r="B52" s="29" t="s">
        <v>18</v>
      </c>
      <c r="C52" s="29"/>
      <c r="D52" s="29"/>
      <c r="E52" s="29"/>
      <c r="F52" s="29"/>
      <c r="G52" s="29"/>
    </row>
    <row r="53" spans="2:7" x14ac:dyDescent="0.3">
      <c r="B53" s="1">
        <v>1</v>
      </c>
      <c r="C53" s="1" t="s">
        <v>8</v>
      </c>
      <c r="D53" s="4" t="s">
        <v>129</v>
      </c>
      <c r="E53" s="4" t="s">
        <v>186</v>
      </c>
      <c r="F53" s="1">
        <v>1400</v>
      </c>
      <c r="G53" s="1">
        <f>39*F53</f>
        <v>54600</v>
      </c>
    </row>
    <row r="54" spans="2:7" x14ac:dyDescent="0.3">
      <c r="B54" s="1">
        <v>2</v>
      </c>
      <c r="C54" s="1" t="s">
        <v>9</v>
      </c>
      <c r="D54" s="4" t="s">
        <v>105</v>
      </c>
      <c r="E54" s="4" t="s">
        <v>130</v>
      </c>
      <c r="F54" s="1">
        <v>600</v>
      </c>
      <c r="G54" s="1">
        <f>81*F54</f>
        <v>48600</v>
      </c>
    </row>
    <row r="55" spans="2:7" x14ac:dyDescent="0.3">
      <c r="B55" s="1">
        <v>3</v>
      </c>
      <c r="C55" s="1" t="s">
        <v>10</v>
      </c>
      <c r="D55" s="4" t="s">
        <v>137</v>
      </c>
      <c r="E55" s="4" t="s">
        <v>155</v>
      </c>
      <c r="F55" s="1"/>
      <c r="G55" s="1">
        <v>10000</v>
      </c>
    </row>
    <row r="56" spans="2:7" x14ac:dyDescent="0.3">
      <c r="B56" s="1">
        <v>4</v>
      </c>
      <c r="C56" s="4" t="s">
        <v>11</v>
      </c>
      <c r="D56" s="4" t="s">
        <v>104</v>
      </c>
      <c r="E56" s="4" t="s">
        <v>131</v>
      </c>
      <c r="F56" s="1"/>
      <c r="G56" s="1"/>
    </row>
    <row r="57" spans="2:7" x14ac:dyDescent="0.3">
      <c r="B57" s="1">
        <v>5</v>
      </c>
      <c r="C57" s="1" t="s">
        <v>85</v>
      </c>
      <c r="D57" s="4" t="s">
        <v>190</v>
      </c>
      <c r="E57" s="4" t="s">
        <v>191</v>
      </c>
      <c r="F57" s="1">
        <v>1700</v>
      </c>
      <c r="G57" s="1">
        <v>122400</v>
      </c>
    </row>
    <row r="58" spans="2:7" x14ac:dyDescent="0.3">
      <c r="B58" s="1">
        <v>6</v>
      </c>
      <c r="C58" s="1" t="s">
        <v>86</v>
      </c>
      <c r="D58" s="4" t="s">
        <v>192</v>
      </c>
      <c r="E58" s="4" t="s">
        <v>124</v>
      </c>
      <c r="F58" s="1">
        <v>1700</v>
      </c>
      <c r="G58" s="1">
        <f>32*F58</f>
        <v>54400</v>
      </c>
    </row>
    <row r="59" spans="2:7" x14ac:dyDescent="0.3">
      <c r="B59" s="1">
        <v>7</v>
      </c>
      <c r="C59" s="1" t="s">
        <v>93</v>
      </c>
      <c r="D59" s="4" t="s">
        <v>193</v>
      </c>
      <c r="E59" s="4" t="s">
        <v>194</v>
      </c>
      <c r="F59" s="1">
        <v>1100</v>
      </c>
      <c r="G59" s="1">
        <f>8*F59</f>
        <v>8800</v>
      </c>
    </row>
    <row r="60" spans="2:7" x14ac:dyDescent="0.3">
      <c r="B60" s="1">
        <v>8</v>
      </c>
      <c r="C60" s="1" t="s">
        <v>33</v>
      </c>
      <c r="D60" s="4" t="s">
        <v>196</v>
      </c>
      <c r="E60" s="4" t="s">
        <v>195</v>
      </c>
      <c r="F60" s="1">
        <v>1100</v>
      </c>
      <c r="G60" s="1">
        <f>18*F60</f>
        <v>19800</v>
      </c>
    </row>
    <row r="61" spans="2:7" x14ac:dyDescent="0.3">
      <c r="B61" s="1">
        <v>9</v>
      </c>
      <c r="C61" s="1" t="s">
        <v>19</v>
      </c>
      <c r="D61" s="4" t="s">
        <v>92</v>
      </c>
      <c r="E61" s="4" t="s">
        <v>132</v>
      </c>
      <c r="F61" s="1"/>
      <c r="G61" s="1"/>
    </row>
    <row r="62" spans="2:7" x14ac:dyDescent="0.3">
      <c r="B62" s="1">
        <v>10</v>
      </c>
      <c r="C62" s="1" t="s">
        <v>38</v>
      </c>
      <c r="D62" s="4" t="s">
        <v>81</v>
      </c>
      <c r="E62" s="4" t="s">
        <v>128</v>
      </c>
      <c r="F62" s="1"/>
      <c r="G62" s="1"/>
    </row>
    <row r="63" spans="2:7" x14ac:dyDescent="0.3">
      <c r="B63" s="1">
        <v>11</v>
      </c>
      <c r="C63" s="1" t="s">
        <v>224</v>
      </c>
      <c r="D63" s="4"/>
      <c r="E63" s="4" t="s">
        <v>225</v>
      </c>
      <c r="F63" s="1">
        <v>550</v>
      </c>
      <c r="G63" s="1">
        <v>13750</v>
      </c>
    </row>
    <row r="64" spans="2:7" x14ac:dyDescent="0.3">
      <c r="B64" s="1">
        <v>12</v>
      </c>
      <c r="C64" s="1" t="s">
        <v>222</v>
      </c>
      <c r="D64" s="4">
        <v>10</v>
      </c>
      <c r="E64" s="4" t="s">
        <v>223</v>
      </c>
      <c r="F64" s="1">
        <v>550</v>
      </c>
      <c r="G64" s="1">
        <v>5500</v>
      </c>
    </row>
    <row r="65" spans="2:7" x14ac:dyDescent="0.3">
      <c r="B65" s="1">
        <v>13</v>
      </c>
      <c r="C65" s="1" t="s">
        <v>83</v>
      </c>
      <c r="D65" s="4" t="s">
        <v>188</v>
      </c>
      <c r="E65" s="4" t="s">
        <v>189</v>
      </c>
      <c r="F65" s="1"/>
      <c r="G65" s="1"/>
    </row>
    <row r="66" spans="2:7" ht="15" customHeight="1" x14ac:dyDescent="0.3">
      <c r="B66" s="1">
        <v>14</v>
      </c>
      <c r="C66" s="1" t="s">
        <v>84</v>
      </c>
      <c r="D66" s="4" t="s">
        <v>34</v>
      </c>
      <c r="E66" s="4" t="s">
        <v>132</v>
      </c>
      <c r="F66" s="1">
        <v>500</v>
      </c>
      <c r="G66" s="1">
        <f>40*500</f>
        <v>20000</v>
      </c>
    </row>
    <row r="67" spans="2:7" ht="15" customHeight="1" x14ac:dyDescent="0.35">
      <c r="D67" s="6"/>
      <c r="E67" s="6"/>
      <c r="G67" s="25">
        <f>SUM(G53:G66)</f>
        <v>357850</v>
      </c>
    </row>
    <row r="68" spans="2:7" ht="15" customHeight="1" x14ac:dyDescent="0.3">
      <c r="D68" s="6"/>
      <c r="E68" s="6"/>
    </row>
    <row r="69" spans="2:7" ht="15" customHeight="1" x14ac:dyDescent="0.3">
      <c r="D69" s="6"/>
      <c r="E69" s="6"/>
    </row>
    <row r="70" spans="2:7" ht="15" customHeight="1" x14ac:dyDescent="0.3">
      <c r="D70" s="6"/>
      <c r="E70" s="6"/>
    </row>
    <row r="71" spans="2:7" ht="15" customHeight="1" x14ac:dyDescent="0.3">
      <c r="D71" s="6"/>
      <c r="E71" s="6"/>
    </row>
    <row r="72" spans="2:7" ht="15" customHeight="1" x14ac:dyDescent="0.3">
      <c r="B72" s="29" t="s">
        <v>165</v>
      </c>
      <c r="C72" s="29"/>
      <c r="D72" s="29"/>
      <c r="E72" s="29"/>
      <c r="F72" s="29"/>
      <c r="G72" s="29"/>
    </row>
    <row r="73" spans="2:7" ht="15" customHeight="1" x14ac:dyDescent="0.3">
      <c r="B73" s="1">
        <v>1</v>
      </c>
      <c r="C73" s="1" t="s">
        <v>8</v>
      </c>
      <c r="D73" s="4" t="s">
        <v>171</v>
      </c>
      <c r="E73" s="4" t="s">
        <v>197</v>
      </c>
      <c r="F73" s="1">
        <v>1400</v>
      </c>
      <c r="G73" s="1">
        <v>38125</v>
      </c>
    </row>
    <row r="74" spans="2:7" ht="15" customHeight="1" x14ac:dyDescent="0.3">
      <c r="B74" s="1">
        <v>2</v>
      </c>
      <c r="C74" s="1" t="s">
        <v>9</v>
      </c>
      <c r="D74" s="4" t="s">
        <v>199</v>
      </c>
      <c r="E74" s="4" t="s">
        <v>198</v>
      </c>
      <c r="F74" s="1">
        <v>500</v>
      </c>
      <c r="G74" s="1">
        <v>32500</v>
      </c>
    </row>
    <row r="75" spans="2:7" ht="15" customHeight="1" x14ac:dyDescent="0.3">
      <c r="B75" s="1">
        <v>3</v>
      </c>
      <c r="C75" s="1" t="s">
        <v>169</v>
      </c>
      <c r="D75" s="4" t="s">
        <v>170</v>
      </c>
      <c r="E75" s="4" t="s">
        <v>172</v>
      </c>
      <c r="F75" s="1"/>
      <c r="G75" s="1">
        <v>14000</v>
      </c>
    </row>
    <row r="76" spans="2:7" ht="15" customHeight="1" x14ac:dyDescent="0.3">
      <c r="B76" s="1">
        <v>4</v>
      </c>
      <c r="C76" s="1" t="s">
        <v>167</v>
      </c>
      <c r="D76" s="4" t="s">
        <v>200</v>
      </c>
      <c r="E76" s="4" t="s">
        <v>201</v>
      </c>
      <c r="F76" s="1">
        <v>1400</v>
      </c>
      <c r="G76" s="1">
        <v>14000</v>
      </c>
    </row>
    <row r="77" spans="2:7" ht="15" customHeight="1" x14ac:dyDescent="0.3">
      <c r="B77" s="1">
        <v>5</v>
      </c>
      <c r="C77" s="1" t="s">
        <v>168</v>
      </c>
      <c r="D77" s="4" t="s">
        <v>100</v>
      </c>
      <c r="E77" s="4" t="s">
        <v>202</v>
      </c>
      <c r="F77" s="1">
        <v>600</v>
      </c>
      <c r="G77" s="1">
        <v>19200</v>
      </c>
    </row>
    <row r="78" spans="2:7" ht="15" customHeight="1" x14ac:dyDescent="0.3">
      <c r="B78" s="1">
        <v>6</v>
      </c>
      <c r="C78" s="1" t="s">
        <v>166</v>
      </c>
      <c r="D78" s="4" t="s">
        <v>204</v>
      </c>
      <c r="E78" s="4" t="s">
        <v>203</v>
      </c>
      <c r="F78" s="1">
        <v>1700</v>
      </c>
      <c r="G78" s="1">
        <v>47600</v>
      </c>
    </row>
    <row r="79" spans="2:7" x14ac:dyDescent="0.3">
      <c r="B79" s="1">
        <v>7</v>
      </c>
      <c r="C79" s="1" t="s">
        <v>38</v>
      </c>
      <c r="D79" s="4" t="s">
        <v>81</v>
      </c>
      <c r="E79" s="4" t="s">
        <v>128</v>
      </c>
      <c r="F79" s="1"/>
      <c r="G79" s="1"/>
    </row>
    <row r="80" spans="2:7" x14ac:dyDescent="0.3">
      <c r="B80" s="1">
        <v>8</v>
      </c>
      <c r="C80" s="1" t="s">
        <v>205</v>
      </c>
      <c r="D80" s="4" t="s">
        <v>206</v>
      </c>
      <c r="E80" s="4">
        <v>9</v>
      </c>
      <c r="F80" s="1">
        <v>550</v>
      </c>
      <c r="G80" s="1">
        <v>4950</v>
      </c>
    </row>
    <row r="81" spans="2:7" ht="18" x14ac:dyDescent="0.35">
      <c r="B81" s="1"/>
      <c r="C81" s="1"/>
      <c r="D81" s="4"/>
      <c r="E81" s="4"/>
      <c r="F81" s="1"/>
      <c r="G81" s="24">
        <f>SUM(G73:G80)</f>
        <v>170375</v>
      </c>
    </row>
    <row r="82" spans="2:7" x14ac:dyDescent="0.3">
      <c r="B82" s="29" t="s">
        <v>82</v>
      </c>
      <c r="C82" s="29"/>
      <c r="D82" s="29"/>
      <c r="E82" s="29"/>
      <c r="F82" s="29"/>
      <c r="G82" s="29"/>
    </row>
    <row r="83" spans="2:7" x14ac:dyDescent="0.3">
      <c r="B83" s="1">
        <v>1</v>
      </c>
      <c r="C83" s="1" t="s">
        <v>8</v>
      </c>
      <c r="D83" s="4" t="s">
        <v>133</v>
      </c>
      <c r="E83" s="4" t="s">
        <v>134</v>
      </c>
      <c r="F83" s="1">
        <v>1400</v>
      </c>
      <c r="G83" s="1">
        <v>52500</v>
      </c>
    </row>
    <row r="84" spans="2:7" x14ac:dyDescent="0.3">
      <c r="B84" s="1">
        <v>2</v>
      </c>
      <c r="C84" s="1" t="s">
        <v>9</v>
      </c>
      <c r="D84" s="4" t="s">
        <v>207</v>
      </c>
      <c r="E84" s="4" t="s">
        <v>208</v>
      </c>
      <c r="F84" s="1">
        <v>1000</v>
      </c>
      <c r="G84" s="1">
        <v>49000</v>
      </c>
    </row>
    <row r="85" spans="2:7" x14ac:dyDescent="0.3">
      <c r="B85" s="1">
        <v>3</v>
      </c>
      <c r="C85" s="1" t="s">
        <v>10</v>
      </c>
      <c r="D85" s="4" t="s">
        <v>87</v>
      </c>
      <c r="E85" s="4" t="s">
        <v>135</v>
      </c>
      <c r="F85" s="1"/>
      <c r="G85" s="1">
        <v>7000</v>
      </c>
    </row>
    <row r="86" spans="2:7" x14ac:dyDescent="0.3">
      <c r="B86" s="1">
        <v>4</v>
      </c>
      <c r="C86" s="1" t="s">
        <v>73</v>
      </c>
      <c r="D86" s="4" t="s">
        <v>210</v>
      </c>
      <c r="E86" s="4" t="s">
        <v>209</v>
      </c>
      <c r="F86" s="1">
        <v>1400</v>
      </c>
      <c r="G86" s="1">
        <v>17500</v>
      </c>
    </row>
    <row r="87" spans="2:7" x14ac:dyDescent="0.3">
      <c r="B87" s="1">
        <v>5</v>
      </c>
      <c r="C87" s="1" t="s">
        <v>88</v>
      </c>
      <c r="D87" s="4" t="s">
        <v>211</v>
      </c>
      <c r="E87" s="4" t="s">
        <v>212</v>
      </c>
      <c r="F87" s="1">
        <v>1400</v>
      </c>
      <c r="G87" s="1">
        <v>14700</v>
      </c>
    </row>
    <row r="88" spans="2:7" x14ac:dyDescent="0.3">
      <c r="B88" s="1">
        <v>6</v>
      </c>
      <c r="C88" s="1" t="s">
        <v>91</v>
      </c>
      <c r="D88" s="4" t="s">
        <v>214</v>
      </c>
      <c r="E88" s="4" t="s">
        <v>213</v>
      </c>
      <c r="F88" s="1">
        <v>650</v>
      </c>
      <c r="G88" s="1">
        <v>23400</v>
      </c>
    </row>
    <row r="89" spans="2:7" x14ac:dyDescent="0.3">
      <c r="B89" s="1">
        <v>7</v>
      </c>
      <c r="C89" s="1" t="s">
        <v>215</v>
      </c>
      <c r="D89" s="4" t="s">
        <v>216</v>
      </c>
      <c r="E89" s="4" t="s">
        <v>217</v>
      </c>
      <c r="F89" s="1">
        <v>1700</v>
      </c>
      <c r="G89" s="1">
        <v>95200</v>
      </c>
    </row>
    <row r="90" spans="2:7" x14ac:dyDescent="0.3">
      <c r="B90" s="1">
        <v>8</v>
      </c>
      <c r="C90" s="1" t="s">
        <v>220</v>
      </c>
      <c r="D90" s="4" t="s">
        <v>218</v>
      </c>
      <c r="E90" s="4" t="s">
        <v>219</v>
      </c>
      <c r="F90" s="1">
        <v>2000</v>
      </c>
      <c r="G90" s="1">
        <v>48000</v>
      </c>
    </row>
    <row r="91" spans="2:7" x14ac:dyDescent="0.3">
      <c r="B91" s="1">
        <v>9</v>
      </c>
      <c r="C91" s="1" t="s">
        <v>90</v>
      </c>
      <c r="D91" s="4" t="s">
        <v>89</v>
      </c>
      <c r="E91" s="4" t="s">
        <v>187</v>
      </c>
      <c r="F91" s="1">
        <v>1100</v>
      </c>
      <c r="G91" s="1">
        <v>22000</v>
      </c>
    </row>
    <row r="92" spans="2:7" x14ac:dyDescent="0.3">
      <c r="B92" s="1">
        <v>10</v>
      </c>
      <c r="C92" s="1" t="s">
        <v>38</v>
      </c>
      <c r="D92" s="4" t="s">
        <v>81</v>
      </c>
      <c r="E92" s="4" t="s">
        <v>128</v>
      </c>
      <c r="F92" s="1"/>
      <c r="G92" s="1"/>
    </row>
    <row r="93" spans="2:7" ht="18" x14ac:dyDescent="0.35">
      <c r="B93" s="1"/>
      <c r="C93" s="1"/>
      <c r="D93" s="4"/>
      <c r="E93" s="4"/>
      <c r="F93" s="1"/>
      <c r="G93" s="24">
        <f>SUM(G83:G92)</f>
        <v>329300</v>
      </c>
    </row>
    <row r="94" spans="2:7" ht="18" x14ac:dyDescent="0.35">
      <c r="B94" s="1"/>
      <c r="C94" s="1"/>
      <c r="D94" s="4"/>
      <c r="E94" s="4"/>
      <c r="F94" s="1"/>
      <c r="G94" s="24"/>
    </row>
    <row r="95" spans="2:7" ht="18" x14ac:dyDescent="0.35">
      <c r="B95" s="1"/>
      <c r="C95" s="1"/>
      <c r="D95" s="4"/>
      <c r="E95" s="4"/>
      <c r="F95" s="24" t="s">
        <v>221</v>
      </c>
      <c r="G95" s="25">
        <f>SUM(G93,G81,G67,G51,G43,G33,G27,G14)</f>
        <v>1700353</v>
      </c>
    </row>
    <row r="96" spans="2:7" x14ac:dyDescent="0.3">
      <c r="B96" s="29"/>
      <c r="C96" s="29"/>
      <c r="D96" s="29"/>
      <c r="E96" s="29"/>
      <c r="F96" s="29"/>
      <c r="G96" s="29"/>
    </row>
    <row r="97" spans="2:8" x14ac:dyDescent="0.3">
      <c r="B97" s="1">
        <v>1</v>
      </c>
      <c r="C97" s="8" t="s">
        <v>27</v>
      </c>
      <c r="D97" s="4"/>
      <c r="E97" s="1"/>
      <c r="F97" s="1"/>
      <c r="G97" s="1"/>
    </row>
    <row r="98" spans="2:8" ht="15.6" x14ac:dyDescent="0.3">
      <c r="B98" s="1">
        <v>2</v>
      </c>
      <c r="C98" s="8" t="s">
        <v>35</v>
      </c>
      <c r="D98" s="4"/>
      <c r="E98" s="1"/>
      <c r="F98" s="1"/>
      <c r="G98" s="1"/>
      <c r="H98" s="9"/>
    </row>
    <row r="99" spans="2:8" x14ac:dyDescent="0.3">
      <c r="B99" s="1">
        <v>3</v>
      </c>
      <c r="C99" s="8" t="s">
        <v>28</v>
      </c>
      <c r="D99" s="4"/>
      <c r="E99" s="1"/>
      <c r="F99" s="1"/>
      <c r="G99" s="1">
        <v>215000</v>
      </c>
    </row>
    <row r="100" spans="2:8" x14ac:dyDescent="0.3">
      <c r="B100" s="1">
        <v>4</v>
      </c>
      <c r="C100" s="8" t="s">
        <v>29</v>
      </c>
      <c r="D100" s="1"/>
      <c r="E100" s="1"/>
      <c r="F100" s="1"/>
      <c r="G100" s="1"/>
    </row>
    <row r="101" spans="2:8" x14ac:dyDescent="0.3">
      <c r="B101" s="1">
        <v>5</v>
      </c>
      <c r="C101" s="8" t="s">
        <v>36</v>
      </c>
      <c r="D101" s="1"/>
      <c r="E101" s="1"/>
      <c r="F101" s="1"/>
      <c r="G101" s="1"/>
    </row>
    <row r="102" spans="2:8" x14ac:dyDescent="0.3">
      <c r="B102" s="1">
        <v>6</v>
      </c>
      <c r="C102" s="8" t="s">
        <v>30</v>
      </c>
      <c r="D102" s="4"/>
      <c r="E102" s="4"/>
      <c r="F102" s="1"/>
      <c r="G102" s="1"/>
    </row>
    <row r="103" spans="2:8" x14ac:dyDescent="0.3">
      <c r="B103" s="1">
        <v>7</v>
      </c>
      <c r="C103" s="8" t="s">
        <v>31</v>
      </c>
      <c r="D103" s="4"/>
      <c r="E103" s="1"/>
      <c r="F103" s="1"/>
      <c r="G103" s="1"/>
    </row>
    <row r="104" spans="2:8" x14ac:dyDescent="0.3">
      <c r="B104" s="1">
        <v>8</v>
      </c>
      <c r="C104" s="8" t="s">
        <v>32</v>
      </c>
      <c r="D104" s="1"/>
      <c r="E104" s="1"/>
      <c r="F104" s="1"/>
      <c r="G104" s="1"/>
    </row>
    <row r="105" spans="2:8" x14ac:dyDescent="0.3">
      <c r="C105" s="5"/>
    </row>
    <row r="109" spans="2:8" x14ac:dyDescent="0.3">
      <c r="C109" s="5"/>
    </row>
    <row r="113" spans="3:3" x14ac:dyDescent="0.3">
      <c r="C113" s="5"/>
    </row>
    <row r="124" spans="3:3" x14ac:dyDescent="0.3">
      <c r="C124" s="5"/>
    </row>
    <row r="130" spans="2:3" x14ac:dyDescent="0.3">
      <c r="C130" s="5"/>
    </row>
    <row r="138" spans="2:3" x14ac:dyDescent="0.3">
      <c r="B138" s="5"/>
      <c r="C138" s="5"/>
    </row>
    <row r="164" spans="2:3" x14ac:dyDescent="0.3">
      <c r="B164" s="5"/>
      <c r="C164" s="5"/>
    </row>
    <row r="172" spans="2:3" x14ac:dyDescent="0.3">
      <c r="B172" s="5"/>
      <c r="C172" s="5"/>
    </row>
    <row r="181" spans="2:3" x14ac:dyDescent="0.3">
      <c r="B181" s="5"/>
      <c r="C181" s="5"/>
    </row>
    <row r="206" spans="2:3" x14ac:dyDescent="0.3">
      <c r="B206" s="5"/>
      <c r="C206" s="5"/>
    </row>
  </sheetData>
  <mergeCells count="10">
    <mergeCell ref="B2:G2"/>
    <mergeCell ref="B44:G44"/>
    <mergeCell ref="B28:G28"/>
    <mergeCell ref="B72:G72"/>
    <mergeCell ref="B52:G52"/>
    <mergeCell ref="B82:G82"/>
    <mergeCell ref="B96:G96"/>
    <mergeCell ref="B38:G38"/>
    <mergeCell ref="B15:G15"/>
    <mergeCell ref="B36:G36"/>
  </mergeCells>
  <printOptions horizontalCentered="1" verticalCentere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Shruti Vishwakarma</cp:lastModifiedBy>
  <cp:lastPrinted>2025-04-22T10:04:01Z</cp:lastPrinted>
  <dcterms:created xsi:type="dcterms:W3CDTF">2019-01-16T06:24:53Z</dcterms:created>
  <dcterms:modified xsi:type="dcterms:W3CDTF">2025-05-05T15:34:36Z</dcterms:modified>
</cp:coreProperties>
</file>