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RUTI\Downloads\"/>
    </mc:Choice>
  </mc:AlternateContent>
  <xr:revisionPtr revIDLastSave="0" documentId="13_ncr:1_{6A2480A1-0B9D-4D42-9F8E-ADEA23914C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 (2)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1" i="6" l="1"/>
  <c r="G79" i="6"/>
  <c r="G21" i="6"/>
  <c r="G22" i="6"/>
  <c r="G23" i="6"/>
  <c r="G24" i="6"/>
  <c r="G25" i="6"/>
  <c r="G31" i="6"/>
  <c r="G32" i="6"/>
  <c r="G33" i="6"/>
  <c r="G41" i="6"/>
  <c r="G42" i="6"/>
  <c r="G44" i="6"/>
  <c r="G45" i="6"/>
  <c r="G46" i="6"/>
  <c r="G47" i="6"/>
  <c r="G56" i="6"/>
  <c r="G63" i="6"/>
  <c r="D63" i="6"/>
  <c r="D33" i="6"/>
  <c r="D25" i="6"/>
  <c r="D31" i="6"/>
  <c r="D47" i="6"/>
  <c r="D46" i="6"/>
  <c r="D32" i="6"/>
  <c r="D24" i="6"/>
  <c r="D23" i="6"/>
  <c r="D22" i="6"/>
  <c r="D21" i="6"/>
</calcChain>
</file>

<file path=xl/sharedStrings.xml><?xml version="1.0" encoding="utf-8"?>
<sst xmlns="http://schemas.openxmlformats.org/spreadsheetml/2006/main" count="118" uniqueCount="85">
  <si>
    <t>AMOUNT</t>
  </si>
  <si>
    <t>SR.NO.</t>
  </si>
  <si>
    <t>MASTER BEDROOM</t>
  </si>
  <si>
    <t>SIZE</t>
  </si>
  <si>
    <t>RATE</t>
  </si>
  <si>
    <t>UNIT</t>
  </si>
  <si>
    <t>Sft</t>
  </si>
  <si>
    <t xml:space="preserve"> </t>
  </si>
  <si>
    <t>Nos.</t>
  </si>
  <si>
    <t>FURNITURE ITEMS / CIVIL WORK</t>
  </si>
  <si>
    <t>Sft.</t>
  </si>
  <si>
    <t>ENTRANCE LOBBY</t>
  </si>
  <si>
    <t>LIVING AND DINING</t>
  </si>
  <si>
    <t>KITCHEN</t>
  </si>
  <si>
    <t>GUEST BEDROOM</t>
  </si>
  <si>
    <t>LIVING ROOM TERRACE</t>
  </si>
  <si>
    <t>As per selection</t>
  </si>
  <si>
    <t>OUTSIDE MAIN DOOR</t>
  </si>
  <si>
    <t>Panelling around main door</t>
  </si>
  <si>
    <t>Fire place</t>
  </si>
  <si>
    <t>Breakfast counter</t>
  </si>
  <si>
    <t>Hidden door and panelling for washroom door</t>
  </si>
  <si>
    <t>Study table 3'-0" x 2'-0"</t>
  </si>
  <si>
    <t>KID'S  ROOM</t>
  </si>
  <si>
    <t>Bunk bed with slide and steps</t>
  </si>
  <si>
    <t>BEDROOM BALCONY</t>
  </si>
  <si>
    <t>COMMON WASH BASIN AREA</t>
  </si>
  <si>
    <t>Unit below basin</t>
  </si>
  <si>
    <t>Mirror</t>
  </si>
  <si>
    <t>WASHROOMS</t>
  </si>
  <si>
    <t>Overhead cabinets 9'-6" x 1'-1" x 2'-3" ht.</t>
  </si>
  <si>
    <t>Overhead cabinets 5'-0" x 1'-1" x 2'-3" ht.</t>
  </si>
  <si>
    <t>Loft on frame  9'-6" x 1'-1" x 2'-3" ht.</t>
  </si>
  <si>
    <t>Loft on frame 5'-0" x 1'-1" x 2'-3" ht.</t>
  </si>
  <si>
    <t>Wardrobe 8'-0" x 2'-0" x 7'-0"</t>
  </si>
  <si>
    <t>Loft on frame 8'-0" x 2'-0" x 2'-0"</t>
  </si>
  <si>
    <t>Display  Unit 6'-0" x 1'-3" x 7'-0"</t>
  </si>
  <si>
    <t>Change shutters for Units in Laminate</t>
  </si>
  <si>
    <t>Mandir reuse old unit</t>
  </si>
  <si>
    <t xml:space="preserve">         </t>
  </si>
  <si>
    <t xml:space="preserve">Refurbish Main door </t>
  </si>
  <si>
    <t>Drawer 11'-0"x  2'-0" x 1'-0" ht.</t>
  </si>
  <si>
    <t>Tall unit 2'-0" x 2'-0" x 4'-0"</t>
  </si>
  <si>
    <t>Wardrobe Openable with glass Profile shutters      11'-0" x 2'-0" x 8'-0" ht. ( Hanger fitting additional as per selection)</t>
  </si>
  <si>
    <t>BLOCK COSTING FOR MRS. TRIPTI ON 21/01/2025</t>
  </si>
  <si>
    <t>Shoe rack  (6.5x3)</t>
  </si>
  <si>
    <t xml:space="preserve">                    Sft.</t>
  </si>
  <si>
    <t>Safety door</t>
  </si>
  <si>
    <t>Panelling on wall 12'-0'' x 8.25 ht.</t>
  </si>
  <si>
    <t xml:space="preserve">Hall molding </t>
  </si>
  <si>
    <t>hall pilmit</t>
  </si>
  <si>
    <t xml:space="preserve">Wall patti </t>
  </si>
  <si>
    <t>wood patti at top door ( 4 nag)</t>
  </si>
  <si>
    <t>Breakfast counter 5.25'x3.25'</t>
  </si>
  <si>
    <t xml:space="preserve">Dry Balcony Storage above sink 4'x2.25' </t>
  </si>
  <si>
    <t>panelling and doors above basin 6.25'x2.25'</t>
  </si>
  <si>
    <t>Kitchen all unit loft overhead patti</t>
  </si>
  <si>
    <t>Thin unit for accessories 7.25'x7</t>
  </si>
  <si>
    <t>Pilmit</t>
  </si>
  <si>
    <t>Hydraulic Bed 6.5'x5.5'</t>
  </si>
  <si>
    <t>Wardrobe 7'x7'</t>
  </si>
  <si>
    <t>Loft on frame 2'x7'</t>
  </si>
  <si>
    <t>Wardrobe 7'x3.75'</t>
  </si>
  <si>
    <t>Loft 3.75'x2'</t>
  </si>
  <si>
    <t>side table</t>
  </si>
  <si>
    <t>Headboard 6'x3.5'</t>
  </si>
  <si>
    <t>Study table with adjustable height                             4'x 2.5'</t>
  </si>
  <si>
    <t>Overhead cupboard 4'x 4.25'</t>
  </si>
  <si>
    <t>Panneling  8.5'x 2'</t>
  </si>
  <si>
    <t>Panneling 4'x 2.5'</t>
  </si>
  <si>
    <r>
      <rPr>
        <sz val="11"/>
        <color theme="1"/>
        <rFont val="Calibri"/>
        <family val="2"/>
        <scheme val="minor"/>
      </rPr>
      <t>Cupboard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4'x 7'</t>
    </r>
  </si>
  <si>
    <t>Storage unit in balcony - 7x1.5</t>
  </si>
  <si>
    <t xml:space="preserve">                   Sft.</t>
  </si>
  <si>
    <t>Bedroom door</t>
  </si>
  <si>
    <t>Storage Unit in balcony - 24'x2.5</t>
  </si>
  <si>
    <t>MASTER BEDROOM glass door changing</t>
  </si>
  <si>
    <t>Master bedroom door laminate changing 2</t>
  </si>
  <si>
    <t>Door frame 2</t>
  </si>
  <si>
    <t>Guest bedroom laminate door changing 2</t>
  </si>
  <si>
    <t>Common bathroom door laminate changing 2</t>
  </si>
  <si>
    <t xml:space="preserve">Door frame laminate changing </t>
  </si>
  <si>
    <t>Kids bathroom laminate changing</t>
  </si>
  <si>
    <t xml:space="preserve">2 sheet laminate changing </t>
  </si>
  <si>
    <t>Extra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</si>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</sst>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80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/>
    <xf numFmtId="0" fontId="0" fillId="4" borderId="1" xfId="0" applyFill="1" applyBorder="1"/>
    <xf numFmtId="0" fontId="1" fillId="4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wrapText="1"/>
    </xf>
    <xf numFmtId="164" fontId="1" fillId="4" borderId="1" xfId="1" applyNumberFormat="1" applyFont="1" applyFill="1" applyBorder="1" applyAlignment="1">
      <alignment vertical="center"/>
    </xf>
    <xf numFmtId="0" fontId="4" fillId="4" borderId="1" xfId="0" applyFont="1" applyFill="1" applyBorder="1"/>
    <xf numFmtId="0" fontId="4" fillId="4" borderId="1" xfId="0" applyFont="1" applyFill="1" applyBorder="1" applyAlignment="1">
      <alignment wrapText="1"/>
    </xf>
    <xf numFmtId="0" fontId="5" fillId="4" borderId="1" xfId="0" applyFont="1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/>
    </xf>
    <xf numFmtId="0" fontId="0" fillId="2" borderId="2" xfId="0" applyFill="1" applyBorder="1" applyAlignment="1">
      <alignment horizontal="right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4" fillId="4" borderId="1" xfId="0" applyFont="1" applyFill="1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2" borderId="2" xfId="0" applyFill="1" applyBorder="1" applyAlignment="1">
      <alignment horizontal="right" vertical="center"/>
    </xf>
    <xf numFmtId="0" fontId="1" fillId="0" borderId="1" xfId="0" applyFont="1" applyBorder="1" applyAlignment="1">
      <alignment horizontal="right"/>
    </xf>
    <xf numFmtId="0" fontId="0" fillId="2" borderId="1" xfId="0" applyFill="1" applyBorder="1" applyAlignment="1">
      <alignment vertical="center"/>
    </xf>
    <xf numFmtId="0" fontId="5" fillId="2" borderId="1" xfId="0" applyFont="1" applyFill="1" applyBorder="1" applyAlignment="1">
      <alignment wrapText="1"/>
    </xf>
    <xf numFmtId="0" fontId="0" fillId="2" borderId="1" xfId="0" applyFill="1" applyBorder="1" applyAlignment="1">
      <alignment horizontal="right" vertical="center"/>
    </xf>
    <xf numFmtId="0" fontId="1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right"/>
    </xf>
    <xf numFmtId="0" fontId="5" fillId="2" borderId="2" xfId="0" applyFont="1" applyFill="1" applyBorder="1" applyAlignment="1">
      <alignment wrapText="1"/>
    </xf>
    <xf numFmtId="0" fontId="5" fillId="2" borderId="2" xfId="0" applyFont="1" applyFill="1" applyBorder="1"/>
    <xf numFmtId="0" fontId="0" fillId="2" borderId="2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/>
    </xf>
    <xf numFmtId="0" fontId="0" fillId="4" borderId="1" xfId="0" applyFill="1" applyBorder="1" applyAlignment="1">
      <alignment wrapText="1"/>
    </xf>
    <xf numFmtId="0" fontId="0" fillId="2" borderId="0" xfId="0" applyFill="1"/>
    <xf numFmtId="0" fontId="0" fillId="4" borderId="1" xfId="0" applyFill="1" applyBorder="1" applyAlignment="1">
      <alignment horizontal="right"/>
    </xf>
    <xf numFmtId="0" fontId="0" fillId="4" borderId="1" xfId="0" applyFill="1" applyBorder="1" applyAlignment="1">
      <alignment horizontal="right" wrapText="1"/>
    </xf>
    <xf numFmtId="0" fontId="1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left" vertical="center"/>
    </xf>
    <xf numFmtId="0" fontId="0" fillId="2" borderId="7" xfId="0" applyFill="1" applyBorder="1" applyAlignment="1">
      <alignment horizontal="right"/>
    </xf>
    <xf numFmtId="0" fontId="4" fillId="4" borderId="6" xfId="0" applyFont="1" applyFill="1" applyBorder="1" applyAlignment="1">
      <alignment horizontal="right"/>
    </xf>
    <xf numFmtId="0" fontId="0" fillId="2" borderId="6" xfId="0" applyFill="1" applyBorder="1" applyAlignment="1">
      <alignment horizontal="right" vertical="center"/>
    </xf>
    <xf numFmtId="0" fontId="0" fillId="2" borderId="6" xfId="0" applyFill="1" applyBorder="1" applyAlignment="1">
      <alignment horizontal="right"/>
    </xf>
    <xf numFmtId="0" fontId="1" fillId="4" borderId="6" xfId="0" applyFont="1" applyFill="1" applyBorder="1" applyAlignment="1">
      <alignment wrapText="1"/>
    </xf>
    <xf numFmtId="1" fontId="0" fillId="0" borderId="1" xfId="0" applyNumberFormat="1" applyBorder="1"/>
    <xf numFmtId="1" fontId="1" fillId="0" borderId="1" xfId="0" applyNumberFormat="1" applyFont="1" applyBorder="1"/>
    <xf numFmtId="0" fontId="0" fillId="2" borderId="2" xfId="0" applyFill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0" fillId="0" borderId="2" xfId="0" applyBorder="1" applyAlignment="1">
      <alignment horizontal="right"/>
    </xf>
    <xf numFmtId="1" fontId="0" fillId="0" borderId="0" xfId="0" applyNumberFormat="1"/>
    <xf numFmtId="0" fontId="5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 wrapText="1"/>
    </xf>
    <xf numFmtId="0" fontId="0" fillId="2" borderId="7" xfId="0" applyFill="1" applyBorder="1" applyAlignment="1">
      <alignment horizontal="right" vertical="center"/>
    </xf>
    <xf numFmtId="0" fontId="0" fillId="2" borderId="8" xfId="0" applyFill="1" applyBorder="1" applyAlignment="1">
      <alignment horizontal="left"/>
    </xf>
    <xf numFmtId="0" fontId="0" fillId="5" borderId="1" xfId="0" applyFill="1" applyBorder="1" applyAlignment="1">
      <alignment horizontal="right" vertical="center"/>
    </xf>
    <xf numFmtId="0" fontId="0" fillId="5" borderId="1" xfId="0" applyFill="1" applyBorder="1" applyAlignment="1">
      <alignment horizontal="left" vertical="center"/>
    </xf>
    <xf numFmtId="0" fontId="0" fillId="5" borderId="6" xfId="0" applyFill="1" applyBorder="1" applyAlignment="1">
      <alignment horizontal="right" vertical="center"/>
    </xf>
    <xf numFmtId="0" fontId="0" fillId="5" borderId="1" xfId="0" applyFill="1" applyBorder="1" applyAlignment="1">
      <alignment vertical="center"/>
    </xf>
    <xf numFmtId="0" fontId="0" fillId="5" borderId="2" xfId="0" applyFill="1" applyBorder="1" applyAlignment="1">
      <alignment horizontal="right" vertical="center"/>
    </xf>
    <xf numFmtId="0" fontId="0" fillId="5" borderId="2" xfId="0" applyFill="1" applyBorder="1" applyAlignment="1">
      <alignment horizontal="left" vertical="center"/>
    </xf>
    <xf numFmtId="0" fontId="0" fillId="5" borderId="2" xfId="0" applyFill="1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1" xfId="0" applyFill="1" applyBorder="1"/>
    <xf numFmtId="0" fontId="0" fillId="5" borderId="1" xfId="0" applyFill="1" applyBorder="1" applyAlignment="1">
      <alignment vertical="center" wrapText="1"/>
    </xf>
    <xf numFmtId="1" fontId="0" fillId="2" borderId="0" xfId="0" applyNumberFormat="1" applyFill="1"/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wrapText="1"/>
    </xf>
    <xf numFmtId="0" fontId="0" fillId="4" borderId="6" xfId="0" applyFont="1" applyFill="1" applyBorder="1" applyAlignment="1">
      <alignment wrapText="1"/>
    </xf>
    <xf numFmtId="0" fontId="0" fillId="4" borderId="1" xfId="0" applyFont="1" applyFill="1" applyBorder="1"/>
    <xf numFmtId="0" fontId="0" fillId="4" borderId="1" xfId="0" applyFill="1" applyBorder="1" applyAlignment="1">
      <alignment vertical="center"/>
    </xf>
    <xf numFmtId="0" fontId="0" fillId="4" borderId="6" xfId="0" applyFill="1" applyBorder="1" applyAlignment="1">
      <alignment horizontal="right" vertical="center"/>
    </xf>
    <xf numFmtId="0" fontId="7" fillId="0" borderId="1" xfId="0" applyFont="1" applyBorder="1"/>
    <xf numFmtId="1" fontId="6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A1703-2326-4E3D-8A3B-C336DFF7D251}">
  <dimension ref="B1:N87"/>
  <sheetViews>
    <sheetView tabSelected="1" topLeftCell="C69" zoomScale="111" zoomScaleNormal="208" workbookViewId="0">
      <selection activeCell="I79" sqref="I79"/>
    </sheetView>
  </sheetViews>
  <sheetFormatPr defaultRowHeight="14.4" x14ac:dyDescent="0.3"/>
  <cols>
    <col min="3" max="3" width="39.5546875" customWidth="1"/>
    <col min="4" max="4" width="7.88671875" customWidth="1"/>
    <col min="5" max="5" width="12.77734375" customWidth="1"/>
    <col min="6" max="6" width="11.21875" customWidth="1"/>
    <col min="7" max="7" width="23.109375" customWidth="1"/>
  </cols>
  <sheetData>
    <row r="1" spans="2:10" ht="15" thickBot="1" x14ac:dyDescent="0.35"/>
    <row r="2" spans="2:10" ht="16.2" thickBot="1" x14ac:dyDescent="0.35">
      <c r="B2" s="70" t="s">
        <v>44</v>
      </c>
      <c r="C2" s="71"/>
      <c r="D2" s="71"/>
      <c r="E2" s="71"/>
      <c r="F2" s="71"/>
      <c r="G2" s="72"/>
    </row>
    <row r="3" spans="2:10" x14ac:dyDescent="0.3">
      <c r="B3" s="2" t="s">
        <v>1</v>
      </c>
      <c r="C3" s="2" t="s">
        <v>7</v>
      </c>
      <c r="D3" s="2" t="s">
        <v>3</v>
      </c>
      <c r="E3" s="2" t="s">
        <v>5</v>
      </c>
      <c r="F3" s="2" t="s">
        <v>4</v>
      </c>
      <c r="G3" s="3" t="s">
        <v>0</v>
      </c>
      <c r="I3" s="58"/>
      <c r="J3" s="37"/>
    </row>
    <row r="4" spans="2:10" x14ac:dyDescent="0.3">
      <c r="B4" s="2">
        <v>1</v>
      </c>
      <c r="C4" s="29" t="s">
        <v>9</v>
      </c>
      <c r="D4" s="2"/>
      <c r="E4" s="2"/>
      <c r="F4" s="2"/>
      <c r="G4" s="3"/>
      <c r="J4" s="37"/>
    </row>
    <row r="5" spans="2:10" ht="13.8" customHeight="1" x14ac:dyDescent="0.3">
      <c r="B5" s="12"/>
      <c r="C5" s="13" t="s">
        <v>17</v>
      </c>
      <c r="D5" s="22"/>
      <c r="E5" s="22"/>
      <c r="F5" s="22"/>
      <c r="G5" s="14"/>
      <c r="J5" s="37"/>
    </row>
    <row r="6" spans="2:10" x14ac:dyDescent="0.3">
      <c r="B6" s="19">
        <v>1</v>
      </c>
      <c r="C6" s="33" t="s">
        <v>45</v>
      </c>
      <c r="D6" s="50">
        <v>19.5</v>
      </c>
      <c r="E6" s="50" t="s">
        <v>46</v>
      </c>
      <c r="F6" s="50">
        <v>1400</v>
      </c>
      <c r="G6" s="53">
        <v>27300</v>
      </c>
      <c r="J6" s="37"/>
    </row>
    <row r="7" spans="2:10" x14ac:dyDescent="0.3">
      <c r="B7" s="19">
        <v>2</v>
      </c>
      <c r="C7" s="33" t="s">
        <v>18</v>
      </c>
      <c r="D7" s="50"/>
      <c r="E7" s="50"/>
      <c r="F7" s="50"/>
      <c r="G7" s="53">
        <v>10000</v>
      </c>
      <c r="J7" s="37"/>
    </row>
    <row r="8" spans="2:10" x14ac:dyDescent="0.3">
      <c r="B8" s="19">
        <v>3</v>
      </c>
      <c r="C8" s="33" t="s">
        <v>40</v>
      </c>
      <c r="D8" s="50"/>
      <c r="E8" s="50"/>
      <c r="F8" s="50"/>
      <c r="G8" s="53">
        <v>25000</v>
      </c>
      <c r="J8" s="37"/>
    </row>
    <row r="9" spans="2:10" x14ac:dyDescent="0.3">
      <c r="B9" s="19">
        <v>4</v>
      </c>
      <c r="C9" s="33" t="s">
        <v>47</v>
      </c>
      <c r="D9" s="50"/>
      <c r="E9" s="50"/>
      <c r="F9" s="50"/>
      <c r="G9" s="53">
        <v>20000</v>
      </c>
      <c r="J9" s="37"/>
    </row>
    <row r="10" spans="2:10" ht="19.2" customHeight="1" x14ac:dyDescent="0.3">
      <c r="B10" s="12"/>
      <c r="C10" s="13" t="s">
        <v>11</v>
      </c>
      <c r="D10" s="22"/>
      <c r="E10" s="22"/>
      <c r="F10" s="22"/>
      <c r="G10" s="14"/>
      <c r="J10" s="37"/>
    </row>
    <row r="11" spans="2:10" ht="16.8" customHeight="1" x14ac:dyDescent="0.3">
      <c r="B11" s="32">
        <v>1</v>
      </c>
      <c r="C11" s="31" t="s">
        <v>48</v>
      </c>
      <c r="D11" s="30">
        <v>99</v>
      </c>
      <c r="E11" s="43" t="s">
        <v>10</v>
      </c>
      <c r="F11" s="1">
        <v>300</v>
      </c>
      <c r="G11" s="1">
        <v>29700</v>
      </c>
      <c r="J11" s="37"/>
    </row>
    <row r="12" spans="2:10" ht="18.600000000000001" customHeight="1" x14ac:dyDescent="0.3">
      <c r="B12" s="12"/>
      <c r="C12" s="13" t="s">
        <v>12</v>
      </c>
      <c r="D12" s="22"/>
      <c r="E12" s="44"/>
      <c r="F12" s="5"/>
      <c r="G12" s="5"/>
      <c r="J12" s="37"/>
    </row>
    <row r="13" spans="2:10" ht="21.6" customHeight="1" x14ac:dyDescent="0.3">
      <c r="B13" s="20">
        <v>1</v>
      </c>
      <c r="C13" s="21" t="s">
        <v>49</v>
      </c>
      <c r="D13" s="21"/>
      <c r="E13" s="43"/>
      <c r="F13" s="1"/>
      <c r="G13" s="1">
        <v>20000</v>
      </c>
      <c r="J13" s="37"/>
    </row>
    <row r="14" spans="2:10" x14ac:dyDescent="0.3">
      <c r="B14" s="24">
        <v>2</v>
      </c>
      <c r="C14" s="33" t="s">
        <v>19</v>
      </c>
      <c r="D14" s="19"/>
      <c r="E14" s="43"/>
      <c r="F14" s="1"/>
      <c r="G14" s="48">
        <v>20000</v>
      </c>
      <c r="J14" s="37"/>
    </row>
    <row r="15" spans="2:10" x14ac:dyDescent="0.3">
      <c r="B15" s="63">
        <v>3</v>
      </c>
      <c r="C15" s="64" t="s">
        <v>38</v>
      </c>
      <c r="D15" s="65"/>
      <c r="E15" s="66" t="s">
        <v>16</v>
      </c>
      <c r="F15" s="67"/>
      <c r="G15" s="67">
        <v>25000</v>
      </c>
      <c r="J15" s="37"/>
    </row>
    <row r="16" spans="2:10" x14ac:dyDescent="0.3">
      <c r="B16" s="63">
        <v>4</v>
      </c>
      <c r="C16" s="64" t="s">
        <v>50</v>
      </c>
      <c r="D16" s="65">
        <v>17.5</v>
      </c>
      <c r="E16" s="66" t="s">
        <v>10</v>
      </c>
      <c r="F16" s="67">
        <v>550</v>
      </c>
      <c r="G16" s="67">
        <v>9625</v>
      </c>
      <c r="J16" s="37"/>
    </row>
    <row r="17" spans="2:14" x14ac:dyDescent="0.3">
      <c r="B17" s="63">
        <v>5</v>
      </c>
      <c r="C17" s="64" t="s">
        <v>51</v>
      </c>
      <c r="D17" s="65">
        <v>17</v>
      </c>
      <c r="E17" s="66" t="s">
        <v>10</v>
      </c>
      <c r="F17" s="67">
        <v>250</v>
      </c>
      <c r="G17" s="67">
        <v>4250</v>
      </c>
      <c r="J17" s="37"/>
    </row>
    <row r="18" spans="2:14" x14ac:dyDescent="0.3">
      <c r="B18" s="63">
        <v>6</v>
      </c>
      <c r="C18" s="64" t="s">
        <v>52</v>
      </c>
      <c r="D18" s="65">
        <v>20</v>
      </c>
      <c r="E18" s="66" t="s">
        <v>10</v>
      </c>
      <c r="F18" s="67">
        <v>300</v>
      </c>
      <c r="G18" s="67">
        <v>6000</v>
      </c>
      <c r="J18" s="37"/>
    </row>
    <row r="19" spans="2:14" x14ac:dyDescent="0.3">
      <c r="B19" s="12"/>
      <c r="C19" s="41" t="s">
        <v>13</v>
      </c>
      <c r="D19" s="22"/>
      <c r="E19" s="44"/>
      <c r="F19" s="5"/>
      <c r="G19" s="5"/>
      <c r="J19" s="37"/>
    </row>
    <row r="20" spans="2:14" x14ac:dyDescent="0.3">
      <c r="B20" s="7">
        <v>1</v>
      </c>
      <c r="C20" s="7" t="s">
        <v>37</v>
      </c>
      <c r="D20" s="7"/>
      <c r="E20" s="45"/>
      <c r="F20" s="1"/>
      <c r="G20" s="20">
        <v>35000</v>
      </c>
      <c r="J20" s="37"/>
    </row>
    <row r="21" spans="2:14" x14ac:dyDescent="0.3">
      <c r="B21" s="7">
        <v>2</v>
      </c>
      <c r="C21" s="7" t="s">
        <v>30</v>
      </c>
      <c r="D21" s="7">
        <f>9.5*2.25</f>
        <v>21.375</v>
      </c>
      <c r="E21" s="43" t="s">
        <v>10</v>
      </c>
      <c r="F21" s="1">
        <v>1200</v>
      </c>
      <c r="G21" s="1">
        <f>D21*F21</f>
        <v>25650</v>
      </c>
      <c r="J21" s="37"/>
    </row>
    <row r="22" spans="2:14" x14ac:dyDescent="0.3">
      <c r="B22" s="7">
        <v>3</v>
      </c>
      <c r="C22" s="7" t="s">
        <v>31</v>
      </c>
      <c r="D22" s="7">
        <f>5*2.25</f>
        <v>11.25</v>
      </c>
      <c r="E22" s="43" t="s">
        <v>10</v>
      </c>
      <c r="F22" s="1">
        <v>1200</v>
      </c>
      <c r="G22" s="1">
        <f>D22*F22</f>
        <v>13500</v>
      </c>
      <c r="J22" s="37"/>
    </row>
    <row r="23" spans="2:14" x14ac:dyDescent="0.3">
      <c r="B23" s="7">
        <v>4</v>
      </c>
      <c r="C23" s="7" t="s">
        <v>32</v>
      </c>
      <c r="D23" s="7">
        <f>9.5*2.25</f>
        <v>21.375</v>
      </c>
      <c r="E23" s="43" t="s">
        <v>10</v>
      </c>
      <c r="F23" s="1">
        <v>1100</v>
      </c>
      <c r="G23" s="48">
        <f>D23*F23</f>
        <v>23512.5</v>
      </c>
      <c r="J23" s="37"/>
    </row>
    <row r="24" spans="2:14" x14ac:dyDescent="0.3">
      <c r="B24" s="7">
        <v>5</v>
      </c>
      <c r="C24" s="7" t="s">
        <v>33</v>
      </c>
      <c r="D24" s="7">
        <f>5*2.25</f>
        <v>11.25</v>
      </c>
      <c r="E24" s="43" t="s">
        <v>10</v>
      </c>
      <c r="F24" s="1">
        <v>1100</v>
      </c>
      <c r="G24" s="1">
        <f>D24*F24</f>
        <v>12375</v>
      </c>
      <c r="J24" s="37"/>
    </row>
    <row r="25" spans="2:14" x14ac:dyDescent="0.3">
      <c r="B25" s="7">
        <v>6</v>
      </c>
      <c r="C25" s="7" t="s">
        <v>42</v>
      </c>
      <c r="D25" s="7">
        <f>8</f>
        <v>8</v>
      </c>
      <c r="E25" s="43" t="s">
        <v>10</v>
      </c>
      <c r="F25" s="1">
        <v>1600</v>
      </c>
      <c r="G25" s="20">
        <f>D25*F25</f>
        <v>12800</v>
      </c>
      <c r="J25" s="37"/>
    </row>
    <row r="26" spans="2:14" x14ac:dyDescent="0.3">
      <c r="B26" s="7">
        <v>7</v>
      </c>
      <c r="C26" s="7" t="s">
        <v>53</v>
      </c>
      <c r="D26" s="7">
        <v>17</v>
      </c>
      <c r="E26" s="45" t="s">
        <v>10</v>
      </c>
      <c r="F26" s="1">
        <v>1500</v>
      </c>
      <c r="G26" s="1">
        <v>25500</v>
      </c>
      <c r="J26" s="37"/>
      <c r="N26" s="54"/>
    </row>
    <row r="27" spans="2:14" x14ac:dyDescent="0.3">
      <c r="B27" s="7">
        <v>8</v>
      </c>
      <c r="C27" s="7" t="s">
        <v>55</v>
      </c>
      <c r="D27" s="7">
        <v>14</v>
      </c>
      <c r="E27" s="57" t="s">
        <v>10</v>
      </c>
      <c r="F27" s="1">
        <v>900</v>
      </c>
      <c r="G27" s="1">
        <v>12600</v>
      </c>
      <c r="J27" s="37"/>
      <c r="N27" s="54"/>
    </row>
    <row r="28" spans="2:14" x14ac:dyDescent="0.3">
      <c r="B28" s="7">
        <v>9</v>
      </c>
      <c r="C28" s="9" t="s">
        <v>54</v>
      </c>
      <c r="D28" s="7">
        <v>10</v>
      </c>
      <c r="E28" s="57" t="s">
        <v>10</v>
      </c>
      <c r="F28" s="7">
        <v>1200</v>
      </c>
      <c r="G28" s="7">
        <v>12000</v>
      </c>
      <c r="I28" s="54"/>
      <c r="J28" s="69"/>
    </row>
    <row r="29" spans="2:14" x14ac:dyDescent="0.3">
      <c r="B29" s="7">
        <v>10</v>
      </c>
      <c r="C29" s="9" t="s">
        <v>56</v>
      </c>
      <c r="D29" s="7"/>
      <c r="E29" s="57"/>
      <c r="F29" s="7"/>
      <c r="G29" s="7">
        <v>15000</v>
      </c>
      <c r="I29" s="54"/>
      <c r="J29" s="69"/>
    </row>
    <row r="30" spans="2:14" x14ac:dyDescent="0.3">
      <c r="B30" s="15"/>
      <c r="C30" s="40" t="s">
        <v>2</v>
      </c>
      <c r="D30" s="16"/>
      <c r="E30" s="47"/>
      <c r="F30" s="5"/>
      <c r="G30" s="5"/>
      <c r="J30" s="37"/>
    </row>
    <row r="31" spans="2:14" ht="48" customHeight="1" x14ac:dyDescent="0.3">
      <c r="B31" s="23">
        <v>1</v>
      </c>
      <c r="C31" s="9" t="s">
        <v>43</v>
      </c>
      <c r="D31" s="23">
        <f>11*8</f>
        <v>88</v>
      </c>
      <c r="E31" s="45" t="s">
        <v>6</v>
      </c>
      <c r="F31" s="7">
        <v>2000</v>
      </c>
      <c r="G31" s="7">
        <f>D31*F31</f>
        <v>176000</v>
      </c>
      <c r="J31" s="37"/>
    </row>
    <row r="32" spans="2:14" ht="29.4" customHeight="1" x14ac:dyDescent="0.3">
      <c r="B32" s="23">
        <v>2</v>
      </c>
      <c r="C32" s="9" t="s">
        <v>41</v>
      </c>
      <c r="D32" s="23">
        <f>11*2</f>
        <v>22</v>
      </c>
      <c r="E32" s="45" t="s">
        <v>6</v>
      </c>
      <c r="F32" s="7">
        <v>1600</v>
      </c>
      <c r="G32" s="7">
        <f>D32*F32</f>
        <v>35200</v>
      </c>
      <c r="J32" s="37"/>
    </row>
    <row r="33" spans="2:10" ht="23.4" customHeight="1" x14ac:dyDescent="0.3">
      <c r="B33" s="28">
        <v>3</v>
      </c>
      <c r="C33" s="42" t="s">
        <v>57</v>
      </c>
      <c r="D33" s="28">
        <f>7.25*7</f>
        <v>50.75</v>
      </c>
      <c r="E33" s="45" t="s">
        <v>6</v>
      </c>
      <c r="F33" s="7">
        <v>1000</v>
      </c>
      <c r="G33" s="7">
        <f>D33*F33</f>
        <v>50750</v>
      </c>
      <c r="J33" s="37"/>
    </row>
    <row r="34" spans="2:10" ht="22.8" customHeight="1" x14ac:dyDescent="0.3">
      <c r="B34" s="28">
        <v>4</v>
      </c>
      <c r="C34" s="42" t="s">
        <v>21</v>
      </c>
      <c r="D34" s="28"/>
      <c r="E34" s="46"/>
      <c r="F34" s="7"/>
      <c r="G34" s="7">
        <v>20000</v>
      </c>
      <c r="J34" s="37"/>
    </row>
    <row r="35" spans="2:10" ht="22.8" customHeight="1" x14ac:dyDescent="0.3">
      <c r="B35" s="28">
        <v>5</v>
      </c>
      <c r="C35" s="42" t="s">
        <v>58</v>
      </c>
      <c r="D35" s="28">
        <v>10</v>
      </c>
      <c r="E35" s="46" t="s">
        <v>10</v>
      </c>
      <c r="F35" s="7">
        <v>550</v>
      </c>
      <c r="G35" s="7">
        <v>5500</v>
      </c>
      <c r="J35" s="37"/>
    </row>
    <row r="36" spans="2:10" ht="24" customHeight="1" x14ac:dyDescent="0.3">
      <c r="B36" s="15"/>
      <c r="C36" s="40" t="s">
        <v>14</v>
      </c>
      <c r="D36" s="16"/>
      <c r="E36" s="47"/>
      <c r="F36" s="5"/>
      <c r="G36" s="5"/>
      <c r="J36" s="37"/>
    </row>
    <row r="37" spans="2:10" ht="23.4" customHeight="1" x14ac:dyDescent="0.3">
      <c r="B37" s="59">
        <v>1</v>
      </c>
      <c r="C37" s="68" t="s">
        <v>59</v>
      </c>
      <c r="D37" s="59">
        <v>35.75</v>
      </c>
      <c r="E37" s="61" t="s">
        <v>10</v>
      </c>
      <c r="F37" s="59">
        <v>1400</v>
      </c>
      <c r="G37" s="62">
        <v>50050</v>
      </c>
      <c r="J37" s="37"/>
    </row>
    <row r="38" spans="2:10" ht="23.4" customHeight="1" x14ac:dyDescent="0.3">
      <c r="B38" s="59">
        <v>2</v>
      </c>
      <c r="C38" s="68" t="s">
        <v>64</v>
      </c>
      <c r="D38" s="59"/>
      <c r="E38" s="61"/>
      <c r="F38" s="59"/>
      <c r="G38" s="62">
        <v>5000</v>
      </c>
      <c r="J38" s="37"/>
    </row>
    <row r="39" spans="2:10" ht="23.4" customHeight="1" x14ac:dyDescent="0.3">
      <c r="B39" s="59">
        <v>3</v>
      </c>
      <c r="C39" s="68" t="s">
        <v>65</v>
      </c>
      <c r="D39" s="59">
        <v>21</v>
      </c>
      <c r="E39" s="61" t="s">
        <v>10</v>
      </c>
      <c r="F39" s="59">
        <v>300</v>
      </c>
      <c r="G39" s="62">
        <v>6300</v>
      </c>
      <c r="J39" s="37"/>
    </row>
    <row r="40" spans="2:10" ht="23.4" customHeight="1" x14ac:dyDescent="0.3">
      <c r="B40" s="59">
        <v>4</v>
      </c>
      <c r="C40" s="68" t="s">
        <v>60</v>
      </c>
      <c r="D40" s="59">
        <v>49</v>
      </c>
      <c r="E40" s="61" t="s">
        <v>10</v>
      </c>
      <c r="F40" s="62">
        <v>1700</v>
      </c>
      <c r="G40" s="62">
        <v>83300</v>
      </c>
      <c r="H40" s="37"/>
      <c r="J40" s="37"/>
    </row>
    <row r="41" spans="2:10" ht="36" customHeight="1" x14ac:dyDescent="0.3">
      <c r="B41" s="23">
        <v>5</v>
      </c>
      <c r="C41" s="9" t="s">
        <v>61</v>
      </c>
      <c r="D41" s="23">
        <v>14</v>
      </c>
      <c r="E41" s="45" t="s">
        <v>6</v>
      </c>
      <c r="F41" s="7">
        <v>1400</v>
      </c>
      <c r="G41" s="7">
        <f>D41*F41</f>
        <v>19600</v>
      </c>
      <c r="H41" s="37"/>
      <c r="J41" s="37"/>
    </row>
    <row r="42" spans="2:10" ht="36" customHeight="1" x14ac:dyDescent="0.3">
      <c r="B42" s="23">
        <v>6</v>
      </c>
      <c r="C42" s="9" t="s">
        <v>62</v>
      </c>
      <c r="D42" s="23">
        <v>26.25</v>
      </c>
      <c r="E42" s="45" t="s">
        <v>6</v>
      </c>
      <c r="F42" s="7">
        <v>1700</v>
      </c>
      <c r="G42" s="7">
        <f>D42*F42</f>
        <v>44625</v>
      </c>
      <c r="H42" s="37"/>
      <c r="J42" s="37"/>
    </row>
    <row r="43" spans="2:10" x14ac:dyDescent="0.3">
      <c r="B43" s="28">
        <v>7</v>
      </c>
      <c r="C43" s="42" t="s">
        <v>22</v>
      </c>
      <c r="D43" s="28"/>
      <c r="E43" s="45"/>
      <c r="F43" s="7"/>
      <c r="G43" s="7">
        <v>10000</v>
      </c>
      <c r="H43" s="37"/>
      <c r="J43" s="37"/>
    </row>
    <row r="44" spans="2:10" x14ac:dyDescent="0.3">
      <c r="B44" s="28">
        <v>8</v>
      </c>
      <c r="C44" s="42" t="s">
        <v>63</v>
      </c>
      <c r="D44" s="28">
        <v>7.5</v>
      </c>
      <c r="E44" s="45" t="s">
        <v>10</v>
      </c>
      <c r="F44" s="7">
        <v>1400</v>
      </c>
      <c r="G44" s="7">
        <f t="shared" ref="G44:G56" si="0">D44*F44</f>
        <v>10500</v>
      </c>
      <c r="H44" s="37"/>
      <c r="J44" s="37"/>
    </row>
    <row r="45" spans="2:10" x14ac:dyDescent="0.3">
      <c r="B45" s="12"/>
      <c r="C45" s="41" t="s">
        <v>23</v>
      </c>
      <c r="D45" s="22"/>
      <c r="E45" s="44"/>
      <c r="F45" s="5"/>
      <c r="G45" s="7">
        <f t="shared" si="0"/>
        <v>0</v>
      </c>
      <c r="H45" s="37"/>
      <c r="J45" s="37"/>
    </row>
    <row r="46" spans="2:10" ht="22.2" customHeight="1" x14ac:dyDescent="0.3">
      <c r="B46" s="55">
        <v>1</v>
      </c>
      <c r="C46" s="56" t="s">
        <v>34</v>
      </c>
      <c r="D46" s="55">
        <f>8*7</f>
        <v>56</v>
      </c>
      <c r="E46" s="45" t="s">
        <v>6</v>
      </c>
      <c r="F46" s="23">
        <v>1700</v>
      </c>
      <c r="G46" s="7">
        <f t="shared" si="0"/>
        <v>95200</v>
      </c>
      <c r="J46" s="37"/>
    </row>
    <row r="47" spans="2:10" ht="23.4" customHeight="1" x14ac:dyDescent="0.3">
      <c r="B47" s="55">
        <v>2</v>
      </c>
      <c r="C47" s="56" t="s">
        <v>35</v>
      </c>
      <c r="D47" s="55">
        <f>8*2</f>
        <v>16</v>
      </c>
      <c r="E47" s="45" t="s">
        <v>6</v>
      </c>
      <c r="F47" s="23">
        <v>1100</v>
      </c>
      <c r="G47" s="7">
        <f t="shared" si="0"/>
        <v>17600</v>
      </c>
      <c r="J47" s="37"/>
    </row>
    <row r="48" spans="2:10" ht="19.8" customHeight="1" x14ac:dyDescent="0.3">
      <c r="B48" s="20">
        <v>3</v>
      </c>
      <c r="C48" s="34" t="s">
        <v>24</v>
      </c>
      <c r="D48" s="20"/>
      <c r="E48" s="46"/>
      <c r="F48" s="1"/>
      <c r="G48" s="7">
        <v>100000</v>
      </c>
      <c r="J48" s="37"/>
    </row>
    <row r="49" spans="2:10" ht="31.2" customHeight="1" x14ac:dyDescent="0.3">
      <c r="B49" s="35">
        <v>4</v>
      </c>
      <c r="C49" s="27" t="s">
        <v>66</v>
      </c>
      <c r="D49" s="35">
        <v>10</v>
      </c>
      <c r="E49" s="45" t="s">
        <v>6</v>
      </c>
      <c r="F49" s="1">
        <v>1500</v>
      </c>
      <c r="G49" s="7">
        <v>15000</v>
      </c>
      <c r="J49" s="37"/>
    </row>
    <row r="50" spans="2:10" ht="31.2" customHeight="1" x14ac:dyDescent="0.3">
      <c r="B50" s="35">
        <v>5</v>
      </c>
      <c r="C50" s="27" t="s">
        <v>67</v>
      </c>
      <c r="D50" s="35">
        <v>17</v>
      </c>
      <c r="E50" s="45" t="s">
        <v>10</v>
      </c>
      <c r="F50" s="1">
        <v>1500</v>
      </c>
      <c r="G50" s="7">
        <v>25500</v>
      </c>
      <c r="J50" s="37"/>
    </row>
    <row r="51" spans="2:10" ht="31.2" customHeight="1" x14ac:dyDescent="0.3">
      <c r="B51" s="35">
        <v>6</v>
      </c>
      <c r="C51" s="27" t="s">
        <v>69</v>
      </c>
      <c r="D51" s="35">
        <v>10</v>
      </c>
      <c r="E51" s="45" t="s">
        <v>10</v>
      </c>
      <c r="F51" s="1">
        <v>300</v>
      </c>
      <c r="G51" s="7">
        <v>3000</v>
      </c>
      <c r="J51" s="37"/>
    </row>
    <row r="52" spans="2:10" ht="31.2" customHeight="1" x14ac:dyDescent="0.3">
      <c r="B52" s="35">
        <v>7</v>
      </c>
      <c r="C52" s="27" t="s">
        <v>68</v>
      </c>
      <c r="D52" s="35">
        <v>17</v>
      </c>
      <c r="E52" s="45" t="s">
        <v>10</v>
      </c>
      <c r="F52" s="1">
        <v>300</v>
      </c>
      <c r="G52" s="7">
        <v>5100</v>
      </c>
      <c r="J52" s="37"/>
    </row>
    <row r="53" spans="2:10" ht="31.2" customHeight="1" x14ac:dyDescent="0.3">
      <c r="B53" s="35">
        <v>8</v>
      </c>
      <c r="C53" s="27" t="s">
        <v>28</v>
      </c>
      <c r="D53" s="35"/>
      <c r="E53" s="45"/>
      <c r="F53" s="1"/>
      <c r="G53" s="7">
        <v>18000</v>
      </c>
      <c r="J53" s="37"/>
    </row>
    <row r="54" spans="2:10" ht="31.2" customHeight="1" x14ac:dyDescent="0.3">
      <c r="B54" s="35">
        <v>9</v>
      </c>
      <c r="C54" s="27" t="s">
        <v>73</v>
      </c>
      <c r="D54" s="35"/>
      <c r="E54" s="45"/>
      <c r="F54" s="1"/>
      <c r="G54" s="7">
        <v>28000</v>
      </c>
      <c r="J54" s="37"/>
    </row>
    <row r="55" spans="2:10" ht="31.2" customHeight="1" x14ac:dyDescent="0.3">
      <c r="B55" s="35">
        <v>10</v>
      </c>
      <c r="C55" s="27" t="s">
        <v>58</v>
      </c>
      <c r="D55" s="35">
        <v>10</v>
      </c>
      <c r="E55" s="45" t="s">
        <v>10</v>
      </c>
      <c r="F55" s="1">
        <v>550</v>
      </c>
      <c r="G55" s="7">
        <v>5500</v>
      </c>
      <c r="J55" s="37"/>
    </row>
    <row r="56" spans="2:10" ht="23.4" customHeight="1" x14ac:dyDescent="0.3">
      <c r="B56" s="15"/>
      <c r="C56" s="40" t="s">
        <v>25</v>
      </c>
      <c r="D56" s="16"/>
      <c r="E56" s="47"/>
      <c r="F56" s="5"/>
      <c r="G56" s="7">
        <f t="shared" si="0"/>
        <v>0</v>
      </c>
      <c r="J56" s="37"/>
    </row>
    <row r="57" spans="2:10" ht="23.4" customHeight="1" x14ac:dyDescent="0.3">
      <c r="B57" s="75">
        <v>1</v>
      </c>
      <c r="C57" s="40" t="s">
        <v>70</v>
      </c>
      <c r="D57" s="73">
        <v>28</v>
      </c>
      <c r="E57" s="74" t="s">
        <v>72</v>
      </c>
      <c r="F57" s="5">
        <v>1700</v>
      </c>
      <c r="G57" s="7">
        <v>47600</v>
      </c>
      <c r="J57" s="37"/>
    </row>
    <row r="58" spans="2:10" ht="23.4" customHeight="1" x14ac:dyDescent="0.3">
      <c r="B58" s="59">
        <v>2</v>
      </c>
      <c r="C58" s="60" t="s">
        <v>71</v>
      </c>
      <c r="D58" s="59">
        <v>10.5</v>
      </c>
      <c r="E58" s="61" t="s">
        <v>10</v>
      </c>
      <c r="F58" s="62">
        <v>1700</v>
      </c>
      <c r="G58" s="62">
        <v>17850</v>
      </c>
      <c r="J58" s="37"/>
    </row>
    <row r="59" spans="2:10" x14ac:dyDescent="0.3">
      <c r="B59" s="15"/>
      <c r="C59" s="40" t="s">
        <v>15</v>
      </c>
      <c r="D59" s="16"/>
      <c r="E59" s="47"/>
      <c r="F59" s="5"/>
      <c r="G59" s="5"/>
      <c r="J59" s="37"/>
    </row>
    <row r="60" spans="2:10" ht="25.2" customHeight="1" x14ac:dyDescent="0.3">
      <c r="B60" s="26">
        <v>1</v>
      </c>
      <c r="C60" s="8" t="s">
        <v>36</v>
      </c>
      <c r="D60" s="21"/>
      <c r="E60" s="45"/>
      <c r="F60" s="1"/>
      <c r="G60" s="1"/>
      <c r="J60" s="37"/>
    </row>
    <row r="61" spans="2:10" ht="24" customHeight="1" x14ac:dyDescent="0.3">
      <c r="B61" s="26">
        <v>2</v>
      </c>
      <c r="C61" s="8" t="s">
        <v>20</v>
      </c>
      <c r="D61" s="1"/>
      <c r="E61" s="46"/>
      <c r="F61" s="1"/>
      <c r="G61" s="1"/>
      <c r="J61" s="37"/>
    </row>
    <row r="62" spans="2:10" ht="24" customHeight="1" x14ac:dyDescent="0.3">
      <c r="B62" s="26">
        <v>3</v>
      </c>
      <c r="C62" s="8" t="s">
        <v>28</v>
      </c>
      <c r="D62" s="1"/>
      <c r="E62" s="46"/>
      <c r="F62" s="1"/>
      <c r="G62" s="1">
        <v>18000</v>
      </c>
      <c r="J62" s="37"/>
    </row>
    <row r="63" spans="2:10" ht="30" customHeight="1" x14ac:dyDescent="0.3">
      <c r="B63" s="26">
        <v>4</v>
      </c>
      <c r="C63" s="8" t="s">
        <v>74</v>
      </c>
      <c r="D63" s="8">
        <f>24*2.5</f>
        <v>60</v>
      </c>
      <c r="E63" s="45" t="s">
        <v>6</v>
      </c>
      <c r="F63" s="7">
        <v>1100</v>
      </c>
      <c r="G63" s="26">
        <f>D63*F63</f>
        <v>66000</v>
      </c>
      <c r="J63" s="37"/>
    </row>
    <row r="64" spans="2:10" x14ac:dyDescent="0.3">
      <c r="B64" s="15"/>
      <c r="C64" s="40" t="s">
        <v>26</v>
      </c>
      <c r="D64" s="16"/>
      <c r="E64" s="47"/>
      <c r="F64" s="5"/>
      <c r="G64" s="5"/>
      <c r="J64" s="37"/>
    </row>
    <row r="65" spans="2:11" ht="24.6" customHeight="1" x14ac:dyDescent="0.3">
      <c r="B65" s="26">
        <v>1</v>
      </c>
      <c r="C65" s="8" t="s">
        <v>27</v>
      </c>
      <c r="D65" s="51"/>
      <c r="E65" s="52"/>
      <c r="F65" s="20"/>
      <c r="G65" s="20">
        <v>10000</v>
      </c>
      <c r="J65" s="37"/>
      <c r="K65" t="s">
        <v>39</v>
      </c>
    </row>
    <row r="66" spans="2:11" ht="23.4" customHeight="1" x14ac:dyDescent="0.3">
      <c r="B66" s="15"/>
      <c r="C66" s="40" t="s">
        <v>29</v>
      </c>
      <c r="D66" s="16"/>
      <c r="E66" s="47"/>
      <c r="F66" s="5"/>
      <c r="G66" s="5"/>
      <c r="J66" s="37"/>
    </row>
    <row r="67" spans="2:11" ht="21" customHeight="1" x14ac:dyDescent="0.3">
      <c r="B67" s="26">
        <v>1</v>
      </c>
      <c r="C67" s="8" t="s">
        <v>27</v>
      </c>
      <c r="D67" s="21">
        <v>3</v>
      </c>
      <c r="E67" s="45" t="s">
        <v>8</v>
      </c>
      <c r="F67" s="1">
        <v>10000</v>
      </c>
      <c r="G67" s="1">
        <v>30000</v>
      </c>
      <c r="J67" s="37"/>
    </row>
    <row r="68" spans="2:11" ht="21" customHeight="1" x14ac:dyDescent="0.45">
      <c r="B68" s="26"/>
      <c r="C68" s="8"/>
      <c r="D68" s="21"/>
      <c r="E68" s="45"/>
      <c r="F68" s="1"/>
      <c r="G68" s="78">
        <v>1403988</v>
      </c>
      <c r="J68" s="37"/>
    </row>
    <row r="69" spans="2:11" ht="21" customHeight="1" x14ac:dyDescent="0.3">
      <c r="B69" s="76"/>
      <c r="C69" s="40" t="s">
        <v>83</v>
      </c>
      <c r="D69" s="36"/>
      <c r="E69" s="77"/>
      <c r="F69" s="5"/>
      <c r="G69" s="5"/>
      <c r="J69" s="37"/>
    </row>
    <row r="70" spans="2:11" ht="21" customHeight="1" x14ac:dyDescent="0.3">
      <c r="B70" s="26"/>
      <c r="C70" s="8" t="s">
        <v>75</v>
      </c>
      <c r="D70" s="21"/>
      <c r="E70" s="45"/>
      <c r="F70" s="1"/>
      <c r="G70" s="1">
        <v>32000</v>
      </c>
      <c r="J70" s="37"/>
    </row>
    <row r="71" spans="2:11" ht="21" customHeight="1" x14ac:dyDescent="0.3">
      <c r="B71" s="26"/>
      <c r="C71" s="8" t="s">
        <v>76</v>
      </c>
      <c r="D71" s="21"/>
      <c r="E71" s="45"/>
      <c r="F71" s="1"/>
      <c r="G71" s="1">
        <v>24000</v>
      </c>
      <c r="J71" s="37"/>
    </row>
    <row r="72" spans="2:11" ht="21" customHeight="1" x14ac:dyDescent="0.3">
      <c r="B72" s="26"/>
      <c r="C72" s="8" t="s">
        <v>77</v>
      </c>
      <c r="D72" s="21"/>
      <c r="E72" s="45"/>
      <c r="F72" s="1"/>
      <c r="G72" s="1">
        <v>10000</v>
      </c>
      <c r="J72" s="37"/>
    </row>
    <row r="73" spans="2:11" ht="21" customHeight="1" x14ac:dyDescent="0.3">
      <c r="B73" s="26"/>
      <c r="C73" s="8" t="s">
        <v>78</v>
      </c>
      <c r="D73" s="21"/>
      <c r="E73" s="45"/>
      <c r="F73" s="1"/>
      <c r="G73" s="1">
        <v>24000</v>
      </c>
      <c r="J73" s="37"/>
    </row>
    <row r="74" spans="2:11" ht="21" customHeight="1" x14ac:dyDescent="0.3">
      <c r="B74" s="26"/>
      <c r="C74" s="8" t="s">
        <v>77</v>
      </c>
      <c r="D74" s="21"/>
      <c r="E74" s="45"/>
      <c r="F74" s="1"/>
      <c r="G74" s="1">
        <v>10000</v>
      </c>
      <c r="J74" s="37"/>
    </row>
    <row r="75" spans="2:11" ht="21" customHeight="1" x14ac:dyDescent="0.3">
      <c r="B75" s="26"/>
      <c r="C75" s="8" t="s">
        <v>79</v>
      </c>
      <c r="D75" s="21"/>
      <c r="E75" s="45"/>
      <c r="F75" s="1"/>
      <c r="G75" s="1">
        <v>12000</v>
      </c>
      <c r="J75" s="37"/>
    </row>
    <row r="76" spans="2:11" ht="21" customHeight="1" x14ac:dyDescent="0.3">
      <c r="B76" s="26"/>
      <c r="C76" s="8" t="s">
        <v>80</v>
      </c>
      <c r="D76" s="21"/>
      <c r="E76" s="45"/>
      <c r="F76" s="1"/>
      <c r="G76" s="1">
        <v>5000</v>
      </c>
      <c r="J76" s="37"/>
    </row>
    <row r="77" spans="2:11" ht="21" customHeight="1" x14ac:dyDescent="0.3">
      <c r="B77" s="26"/>
      <c r="C77" s="8" t="s">
        <v>81</v>
      </c>
      <c r="D77" s="21"/>
      <c r="E77" s="45"/>
      <c r="F77" s="1"/>
      <c r="G77" s="1">
        <v>12000</v>
      </c>
      <c r="J77" s="37"/>
    </row>
    <row r="78" spans="2:11" ht="21" customHeight="1" x14ac:dyDescent="0.3">
      <c r="B78" s="26"/>
      <c r="C78" s="8" t="s">
        <v>82</v>
      </c>
      <c r="D78" s="21"/>
      <c r="E78" s="45"/>
      <c r="F78" s="1"/>
      <c r="G78" s="1">
        <v>3600</v>
      </c>
      <c r="J78" s="37"/>
    </row>
    <row r="79" spans="2:11" ht="21" customHeight="1" x14ac:dyDescent="0.45">
      <c r="B79" s="26"/>
      <c r="C79" s="8"/>
      <c r="D79" s="21"/>
      <c r="E79" s="45"/>
      <c r="F79" s="1"/>
      <c r="G79" s="78">
        <f>SUM(G70:G78)</f>
        <v>132600</v>
      </c>
      <c r="J79" s="37"/>
    </row>
    <row r="80" spans="2:11" ht="19.2" customHeight="1" x14ac:dyDescent="0.3">
      <c r="B80" s="5"/>
      <c r="C80" s="16"/>
      <c r="D80" s="36"/>
      <c r="E80" s="38"/>
      <c r="F80" s="39"/>
      <c r="G80" s="5"/>
      <c r="J80" s="37"/>
    </row>
    <row r="81" spans="2:10" ht="24" customHeight="1" x14ac:dyDescent="0.5">
      <c r="B81" s="18"/>
      <c r="C81" s="17" t="s">
        <v>84</v>
      </c>
      <c r="D81" s="7"/>
      <c r="E81" s="23"/>
      <c r="F81" s="7"/>
      <c r="G81" s="79">
        <f>SUM(G68,G79)</f>
        <v>1536588</v>
      </c>
      <c r="J81" s="37"/>
    </row>
    <row r="82" spans="2:10" ht="21.6" customHeight="1" x14ac:dyDescent="0.3">
      <c r="B82" s="4"/>
      <c r="C82" s="10"/>
      <c r="D82" s="4"/>
      <c r="E82" s="25"/>
      <c r="F82" s="4"/>
      <c r="G82" s="49"/>
      <c r="J82" s="37"/>
    </row>
    <row r="83" spans="2:10" ht="25.8" customHeight="1" x14ac:dyDescent="0.3">
      <c r="B83" s="4"/>
      <c r="C83" s="10"/>
      <c r="D83" s="4"/>
      <c r="E83" s="4"/>
      <c r="F83" s="4"/>
      <c r="G83" s="49"/>
      <c r="J83" s="37"/>
    </row>
    <row r="84" spans="2:10" ht="27" customHeight="1" x14ac:dyDescent="0.3">
      <c r="B84" s="4"/>
      <c r="C84" s="10"/>
      <c r="D84" s="4"/>
      <c r="E84" s="4"/>
      <c r="F84" s="4"/>
      <c r="G84" s="49"/>
      <c r="J84" s="37"/>
    </row>
    <row r="85" spans="2:10" ht="19.8" customHeight="1" x14ac:dyDescent="0.3">
      <c r="B85" s="4"/>
      <c r="C85" s="10"/>
      <c r="D85" s="4"/>
      <c r="E85" s="4"/>
      <c r="F85" s="4"/>
      <c r="G85" s="49"/>
      <c r="J85" s="37"/>
    </row>
    <row r="86" spans="2:10" x14ac:dyDescent="0.3">
      <c r="B86" s="1"/>
      <c r="C86" s="1"/>
      <c r="D86" s="1"/>
      <c r="E86" s="1"/>
      <c r="F86" s="1"/>
      <c r="G86" s="49"/>
      <c r="J86" s="37"/>
    </row>
    <row r="87" spans="2:10" ht="22.8" customHeight="1" x14ac:dyDescent="0.3">
      <c r="B87" s="5"/>
      <c r="C87" s="6"/>
      <c r="D87" s="6"/>
      <c r="E87" s="6"/>
      <c r="F87" s="6"/>
      <c r="G87" s="11"/>
      <c r="J87" s="37"/>
    </row>
  </sheetData>
  <mergeCells count="1">
    <mergeCell ref="B2:G2"/>
  </mergeCells>
  <pageMargins left="0.23622047244094491" right="0.23622047244094491" top="0.74803149606299213" bottom="0.74803149606299213" header="0.31496062992125984" footer="0.31496062992125984"/>
  <pageSetup scale="1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Shruti Vishwakarma</cp:lastModifiedBy>
  <cp:lastPrinted>2025-01-21T12:29:40Z</cp:lastPrinted>
  <dcterms:created xsi:type="dcterms:W3CDTF">2019-01-16T06:24:53Z</dcterms:created>
  <dcterms:modified xsi:type="dcterms:W3CDTF">2025-04-06T14:04:01Z</dcterms:modified>
</cp:coreProperties>
</file>